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sem5\Ds\cp\modi-lipi-xai\docs\01_literature_survey\"/>
    </mc:Choice>
  </mc:AlternateContent>
  <xr:revisionPtr revIDLastSave="0" documentId="13_ncr:1_{4B4500C3-7AB2-4954-828A-3790B37FF7EB}" xr6:coauthVersionLast="47" xr6:coauthVersionMax="47" xr10:uidLastSave="{00000000-0000-0000-0000-000000000000}"/>
  <bookViews>
    <workbookView xWindow="-110" yWindow="-110" windowWidth="19420" windowHeight="11500" xr2:uid="{00000000-000D-0000-FFFF-FFFF00000000}"/>
  </bookViews>
  <sheets>
    <sheet name="Literature Survey" sheetId="1" r:id="rId1"/>
    <sheet name="Summary" sheetId="2" r:id="rId2"/>
    <sheet name="Not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2" i="2" l="1"/>
  <c r="B41" i="2"/>
  <c r="B40" i="2"/>
  <c r="B39" i="2"/>
  <c r="B38" i="2"/>
  <c r="B37" i="2"/>
  <c r="B34" i="2"/>
  <c r="B33" i="2"/>
  <c r="B32" i="2"/>
  <c r="B31" i="2"/>
  <c r="B28" i="2"/>
  <c r="B27" i="2"/>
  <c r="B26" i="2"/>
  <c r="B25" i="2"/>
  <c r="B22" i="2"/>
  <c r="B21" i="2"/>
  <c r="B20" i="2"/>
  <c r="B19" i="2"/>
  <c r="B16" i="2"/>
  <c r="B15" i="2"/>
  <c r="B14" i="2"/>
  <c r="B13" i="2"/>
  <c r="B10" i="2"/>
  <c r="B9" i="2"/>
  <c r="B8" i="2"/>
  <c r="B7" i="2"/>
  <c r="B6" i="2"/>
  <c r="B5" i="2"/>
</calcChain>
</file>

<file path=xl/sharedStrings.xml><?xml version="1.0" encoding="utf-8"?>
<sst xmlns="http://schemas.openxmlformats.org/spreadsheetml/2006/main" count="628" uniqueCount="421">
  <si>
    <t>No</t>
  </si>
  <si>
    <t>Year</t>
  </si>
  <si>
    <t>Title</t>
  </si>
  <si>
    <t>Authors</t>
  </si>
  <si>
    <t>Venue</t>
  </si>
  <si>
    <t>Paper type</t>
  </si>
  <si>
    <t>Approach</t>
  </si>
  <si>
    <t>Task</t>
  </si>
  <si>
    <t>Dataset</t>
  </si>
  <si>
    <t>Classes</t>
  </si>
  <si>
    <t>Preprocessing / features</t>
  </si>
  <si>
    <t>Model / classifier</t>
  </si>
  <si>
    <t>Metric</t>
  </si>
  <si>
    <t>Best reported (%)</t>
  </si>
  <si>
    <t>Results as stated in the paper</t>
  </si>
  <si>
    <t>Key contribution</t>
  </si>
  <si>
    <t>Limitations / gaps observed</t>
  </si>
  <si>
    <t>Relevance to this project</t>
  </si>
  <si>
    <t>Explainability (SHAP / LIME / Grad-CAM)</t>
  </si>
  <si>
    <t>Confusion analysis</t>
  </si>
  <si>
    <t>Handcrafted descriptors (HOG / Zernike / LBP)</t>
  </si>
  <si>
    <t>DOI / link</t>
  </si>
  <si>
    <t>PDF file</t>
  </si>
  <si>
    <t>A Framework for Modi-Lipi Script Based On CAPTCHA</t>
  </si>
  <si>
    <t>Rahul A. Mahajan</t>
  </si>
  <si>
    <t>International Journal on Advanced Electrical and Computer Engineering</t>
  </si>
  <si>
    <t>Conceptual / proposal</t>
  </si>
  <si>
    <t>Not applicable</t>
  </si>
  <si>
    <t>Other</t>
  </si>
  <si>
    <t>None reported; CAPTCHA images generated from Modi words/characters</t>
  </si>
  <si>
    <t>Character generation with warping, distortion and noise (obfuscator module)</t>
  </si>
  <si>
    <t>CAPTCHA generation framework; tested against humans and OCR/ML attacks</t>
  </si>
  <si>
    <t>Qualitative only: 'significantly lower success rate' for automated attacks than Latin or Devanagari CAPTCHAs. No figures given.</t>
  </si>
  <si>
    <t>Proposes using Modi script's difficulty for machines as a security feature (CAPTCHA).</t>
  </si>
  <si>
    <t>No quantitative evaluation, no dataset, no attack model details.</t>
  </si>
  <si>
    <t>Low. Indirect evidence that Modi is hard for automatic recognition.</t>
  </si>
  <si>
    <t>None</t>
  </si>
  <si>
    <t>https://doi.org/10.65521/ijaece.v15i1s.1383</t>
  </si>
  <si>
    <t>01_2026_Mahajan_A_Framework_for_Modi_Lipi_Script_Based_On_CAPTCHA.pdf</t>
  </si>
  <si>
    <t>A Novel Model For Transliterating MODI To Devanagari Script</t>
  </si>
  <si>
    <t>Anshika Jain; Maya Ingle</t>
  </si>
  <si>
    <t>International Journal of Advances in Signal and Image Sciences</t>
  </si>
  <si>
    <t>Experimental</t>
  </si>
  <si>
    <t>Deep learning</t>
  </si>
  <si>
    <t>Transliteration / transcription</t>
  </si>
  <si>
    <t>Own parallel corpus: 37,796 aligned Modi-Devanagari sentence pairs</t>
  </si>
  <si>
    <t>Sequence encoding of sentences</t>
  </si>
  <si>
    <t>Encoder-decoder with stacked LSTM (512 hidden units), sentence level</t>
  </si>
  <si>
    <t>Character-level accuracy</t>
  </si>
  <si>
    <t>BLEU 46; character accuracy 85.16%; word accuracy 86.12%; CER 0.09; 'overall transliteration accuracy' 97.16%; validation accuracy 90.65%.</t>
  </si>
  <si>
    <t>Sentence-level Modi to Devanagari transliteration with a sequence-to-sequence model.</t>
  </si>
  <si>
    <t>Several accuracy figures (85.16%, 86.12%, 97.16%) are reported without a clear definition of how they differ. Corpus availability not stated.</t>
  </si>
  <si>
    <t>Medium. Downstream of character recognition; shows where recognised characters go next.</t>
  </si>
  <si>
    <t>https://doi.org/10.29284/s06egq94</t>
  </si>
  <si>
    <t>02_2026_Jain_A_Novel_Model_For_Transliterating_MODI_To_Devanagari_Script.pdf</t>
  </si>
  <si>
    <t>AI-Driven Model for Converting Modi Lipi Documents into the English Language</t>
  </si>
  <si>
    <t>Mr. Anup Arun Govande</t>
  </si>
  <si>
    <t>International Journal of Research and Innovation in Applied Science</t>
  </si>
  <si>
    <t>None (no implementation)</t>
  </si>
  <si>
    <t>Planned: image clean-up, character segmentation</t>
  </si>
  <si>
    <t>Proposed 5-stage 'ModiAnuwad' pipeline: preprocessing, segmentation, CNN recognition, Transformer translation to English, grammar correction</t>
  </si>
  <si>
    <t>No experimental results. The paper states the system is still to be built.</t>
  </si>
  <si>
    <t>Design of an end-to-end Modi-to-English pipeline.</t>
  </si>
  <si>
    <t>Purely conceptual; no dataset, no implementation, no evaluation.</t>
  </si>
  <si>
    <t>Low. Useful only as a pipeline outline.</t>
  </si>
  <si>
    <t>https://doi.org/10.51584/ijrias.2026.11030031</t>
  </si>
  <si>
    <t>03_2026_Govande_AI_Driven_Model_for_Converting_Modi_Lipi_Documents_into_the_English_La.pdf</t>
  </si>
  <si>
    <t>Handwritten Modi Script Character Recognition Using CNN and VGG16 Algorithms</t>
  </si>
  <si>
    <t>Mrunali Manohar Bhong; Prof. Nanda Kulkarni</t>
  </si>
  <si>
    <t>International Journal of Advanced Research in Science Communication and Technology</t>
  </si>
  <si>
    <t>Character recognition</t>
  </si>
  <si>
    <t>IEEE DataPort handwritten Modi: 46 classes x 90 = 4,140 images (public) plus self-created set: 46 classes x 60 (10 writers)</t>
  </si>
  <si>
    <t>46</t>
  </si>
  <si>
    <t>Noise removal, resizing (200x200 / 224x224), binarisation, segmentation, augmentation (rotation, zoom, shift, flip)</t>
  </si>
  <si>
    <t>Custom CNN and VGG16 (ImageNet transfer learning)</t>
  </si>
  <si>
    <t>Validation accuracy</t>
  </si>
  <si>
    <t>CNN: train 91.12%, validation 87.25%. VGG16: train 97.62%, validation 89.50%. Conclusion separately claims 'up to 94.3%' validation.</t>
  </si>
  <si>
    <t>CNN vs VGG16 comparison on the public 46-class benchmark plus a small self-collected set.</t>
  </si>
  <si>
    <t>8-point train/validation gap for VGG16 on 90 images per class (overfitting). Conclusion (94.3%) contradicts the results section (89.50%). No per-class analysis.</t>
  </si>
  <si>
    <t>High. Uses the 46 x 90 benchmark and shows the overfitting pattern this project's learning curve is designed to test.</t>
  </si>
  <si>
    <t>Mention only</t>
  </si>
  <si>
    <t>https://doi.org/10.48175/ijarsct-25317</t>
  </si>
  <si>
    <t>04_2025_Bhong_Handwritten_Modi_Script_Character_Recognition_Using_CNN_and_VGG16_Algo.pdf</t>
  </si>
  <si>
    <t>Historic Scripts to Modern Vision: A Novel Dataset and A VLM Framework for Transliteration of Modi Script to Devanagari</t>
  </si>
  <si>
    <t>Harshal Kausadikar; Tanvi Kale; Onkar Susladkar; Sparsh Mittal</t>
  </si>
  <si>
    <t>arXiv preprint (2503.13060)</t>
  </si>
  <si>
    <t>MoDeTrans: 2,043 Modi document images with Devanagari transliterations (public, Hugging Face); synthetic SynthMoDe set</t>
  </si>
  <si>
    <t>Document images from three historical eras</t>
  </si>
  <si>
    <t>MoScNet: vision-language model with knowledge distillation (student has 163x fewer parameters than teacher)</t>
  </si>
  <si>
    <t>BLEU</t>
  </si>
  <si>
    <t>MoScNet-XL BLEU 51.03 on MoDeTrans. On English OCR benchmarks: 97.89% (ICDAR13) and 85.52% (ICDAR15) character accuracy.</t>
  </si>
  <si>
    <t>First public dataset and model for direct document-level Modi to Devanagari transliteration.</t>
  </si>
  <si>
    <t>Document-level only, no character-level labels. Large model, needs GPU. arXiv preprint.</t>
  </si>
  <si>
    <t>Medium. Source of real Modi document images for testing segmentation; strongest deep-learning reference.</t>
  </si>
  <si>
    <t>https://doi.org/10.48550/arXiv.2503.13060</t>
  </si>
  <si>
    <t>05_2025_Kausadikar_Historic_Scripts_to_Modern_Vision_A_Novel_Dataset_and_A_VLM_Framework.pdf</t>
  </si>
  <si>
    <t>Modi Script Character Recognition Using Convolutional Neural Networks and Attention-Based CNN Architecture</t>
  </si>
  <si>
    <t>Shweta Kolte; Dr. Brijendra Gupta</t>
  </si>
  <si>
    <t>IEEE DataPort handwritten Modi: 46 classes x 90 = 4,140 images (public) plus a custom 46-class set</t>
  </si>
  <si>
    <t>Resize to 224x224, normalisation</t>
  </si>
  <si>
    <t>Baseline CNN vs attention-based CNN (spatial + channel attention)</t>
  </si>
  <si>
    <t>CNN validation 87.25%. Attention CNN 94.60% (abstract) but 'approximately 90%' (conclusion).</t>
  </si>
  <si>
    <t>Adds attention to a CNN to separate visually similar Modi characters.</t>
  </si>
  <si>
    <t>Abstract and conclusion disagree (94.60% vs about 90%). Baseline CNN figures are identical to papers 4, 14 and 18. Confusing pairs are discussed but not tabulated.</t>
  </si>
  <si>
    <t>High. Same benchmark; acknowledges similar-character confusion but publishes no confused-pairs table.</t>
  </si>
  <si>
    <t>Described, not tabulated</t>
  </si>
  <si>
    <t>https://doi.org/10.48175/ijarsct-25309</t>
  </si>
  <si>
    <t>06_2025_Kolte_Modi_Script_Character_Recognition_Using_Convolutional_Neural_Networks.pdf</t>
  </si>
  <si>
    <t>Modi Script Handwritten Character Classification using Drop-out Induced Incremental Learning Approach</t>
  </si>
  <si>
    <t>Chaitali Chandankhede</t>
  </si>
  <si>
    <t>Journal of Information Systems Engineering &amp; Management</t>
  </si>
  <si>
    <t>Own dataset: 7,721 training and 1,786 test images</t>
  </si>
  <si>
    <t>360 (full barakhadi)</t>
  </si>
  <si>
    <t>Otsu, Sauvola and To-zero binarisation; augmentation; dropout</t>
  </si>
  <si>
    <t>ResNet152, InceptionV3, InceptionResNetV2 with dropout; incremental learning (characters, then words)</t>
  </si>
  <si>
    <t>Average test accuracy</t>
  </si>
  <si>
    <t>ResNet152 + To-zero at 300 epochs: train 96.37%, validation 45.08%, average test 97.38%. Without dropout: train about 99%, validation under 25%.</t>
  </si>
  <si>
    <t>First attempt at the full 360-class Modi barakhadi set.</t>
  </si>
  <si>
    <t>Severe overfitting reported by the authors. Validation accuracy (45%) and test accuracy (97%) are far apart, which is not explained. About 21 training images per class.</t>
  </si>
  <si>
    <t>High. Clear published example of deep models overfitting on small Modi data.</t>
  </si>
  <si>
    <t>https://doi.org/10.52783/jisem.v10i10s.1403</t>
  </si>
  <si>
    <t>07_2025_Chandankhede_Modi_Script_Handwritten_Character_Classification_using_Drop_out_Induce.pdf</t>
  </si>
  <si>
    <t>Review on MODI Script Character Recognition Using Deep Learning Techniques</t>
  </si>
  <si>
    <t>Mrunali Manohar Bhong; Brijendra Parasnath Gupta</t>
  </si>
  <si>
    <t>Review</t>
  </si>
  <si>
    <t>Review (no own data)</t>
  </si>
  <si>
    <t>Surveys template matching, feature extraction, CNN, transfer learning, CNN-SVM hybrids, GAN augmentation</t>
  </si>
  <si>
    <t>Cites accuracies of 65% to over 90% across prior work; no new results.</t>
  </si>
  <si>
    <t>Overview of deep-learning methods for Modi recognition and their weaknesses.</t>
  </si>
  <si>
    <t>Narrative review. Several cited figures are not traceable to named datasets.</t>
  </si>
  <si>
    <t>Medium. Background and related-work source.</t>
  </si>
  <si>
    <t>https://doi.org/10.48175/ijarsct-25318</t>
  </si>
  <si>
    <t>08_2025_Bhong_Review_on_MODI_Script_Character_Recognition_Using_Deep_Learning_Techni.pdf</t>
  </si>
  <si>
    <t>Advancements in Modi Script Character Recognition: A Comprehensive Survey</t>
  </si>
  <si>
    <t>Shilpa K. Aher; Govind Kharat; Prof. N. B. Bankhele</t>
  </si>
  <si>
    <t>Surveys OCR, CNN, ANN, SVM, chain code, Zernike moments</t>
  </si>
  <si>
    <t>Cites prior results (e.g. 92% characters / 93.33% numerals for CNN + RF/XGBoost).</t>
  </si>
  <si>
    <t>Survey of Modi character recognition techniques.</t>
  </si>
  <si>
    <t>Narrative; no comparison on a common dataset.</t>
  </si>
  <si>
    <t>Medium. Related-work source; mentions Zernike features.</t>
  </si>
  <si>
    <t>Zernike (surveyed)</t>
  </si>
  <si>
    <t>https://doi.org/10.48175/ijarsct-18713</t>
  </si>
  <si>
    <t>09_2024_Aher_Advancements_in_Modi_Script_Character_Recognition_A_Comprehensive_Surv.pdf</t>
  </si>
  <si>
    <t>Bridging Heritage and Technology: A Review of Modi Script Character Recognition</t>
  </si>
  <si>
    <t>Surveys thresholding, edge detection, CNN, transfer learning, CNN-SVM hybrids</t>
  </si>
  <si>
    <t>Cites: ResNet50 94.55%, InceptionV3 93.92%, AlexNet 89.72%, minimum-distance classifier 83.19%.</t>
  </si>
  <si>
    <t>Systematic review with a comparison table of prior Modi work.</t>
  </si>
  <si>
    <t>Compares numbers obtained on different datasets as if comparable.</t>
  </si>
  <si>
    <t>Medium. Useful comparison table of prior accuracies.</t>
  </si>
  <si>
    <t>https://doi.org/10.48175/ijarsct-22266</t>
  </si>
  <si>
    <t>10_2024_Kolte_Bridging_Heritage_and_Technology_A_Review_of_Modi_Script_Character_Rec.pdf</t>
  </si>
  <si>
    <t>Exploring ResNet101, InceptionV3, and Xception for Modi Script Character Classification</t>
  </si>
  <si>
    <t>Ravindra Sonavane; Pandharinath Ghonge; Sandip Umajirao Patil; Kaustubh S. Sagale; Anand Arvind Maha</t>
  </si>
  <si>
    <t>International Journal of Intelligent Systems and Applications in Engineering</t>
  </si>
  <si>
    <t>Not clearly specified in the text read</t>
  </si>
  <si>
    <t>Standard transfer-learning preprocessing</t>
  </si>
  <si>
    <t>ResNet101, InceptionV3, Xception (transfer learning)</t>
  </si>
  <si>
    <t>ResNet101: train 77.25%, validation 90.36%. InceptionV3: train 86.62%, validation 80.99%. Xception: train 90.87%, validation 85.94%.</t>
  </si>
  <si>
    <t>Compares three ImageNet architectures on Modi characters.</t>
  </si>
  <si>
    <t>Dataset size and class count unclear. ResNet101's validation accuracy is 13 points above its training accuracy, which is unusual and unexplained. Conclusion names Xception best although ResNet101 has the higher validation score.</t>
  </si>
  <si>
    <t>High. Example of unstable deep-model rankings on small Modi data.</t>
  </si>
  <si>
    <t>https://ijisae.org/index.php/IJISAE/article/download/4841/3529</t>
  </si>
  <si>
    <t>11_2024_Sonavane_Exploring_ResNet101_InceptionV3_and_Xception_for_Modi_Script_Character.pdf</t>
  </si>
  <si>
    <t>Machine Transliteration of Handwritten MODI Script to Devanagari using Deep Neural Networks</t>
  </si>
  <si>
    <t>Solley Joseph; Jossy Paul George</t>
  </si>
  <si>
    <t>International Journal of Computing</t>
  </si>
  <si>
    <t>Own dataset: 4,334 Modi text-line images (300 dpi) with Devanagari ground truth; 3,379 train / 845 test</t>
  </si>
  <si>
    <t>Line images with Unicode ground truth; annotation tool</t>
  </si>
  <si>
    <t>CRNN-based Calamari OCR (fine-tuned)</t>
  </si>
  <si>
    <t>Character-level match 88.14%; whole-word match 61%.</t>
  </si>
  <si>
    <t>Line-level Modi to Devanagari transliteration treated as a pattern-recognition task.</t>
  </si>
  <si>
    <t>Word-level accuracy is only 61%. Dataset not public. No standard benchmark exists.</t>
  </si>
  <si>
    <t>Medium. Line-level baseline for the multi-character part of the app.</t>
  </si>
  <si>
    <t>https://doi.org/10.47839/ijc.23.4.3540</t>
  </si>
  <si>
    <t>12_2024_Joseph_Machine_Transliteration_of_Handwritten_MODI_Script_to_Devanagari_using.pdf</t>
  </si>
  <si>
    <t>Modi Document Transcription to Devanagari</t>
  </si>
  <si>
    <t>Teja Kundaikar; Swapnil Fadte; Ramdas Karmali; Ramrao S. Wagh; Jyoti D. Pawar</t>
  </si>
  <si>
    <t>Ingénierie des systèmes d information</t>
  </si>
  <si>
    <t>Own synthetic dataset (rendered Modi text incl. vowels, consonants, numerals, diacritics, conjuncts; slight tilt added)</t>
  </si>
  <si>
    <t>Synthetic text-line images; Gaussian blur</t>
  </si>
  <si>
    <t>LSTM network (ModiDev_LSTM_Model)</t>
  </si>
  <si>
    <t>Character accuracy</t>
  </si>
  <si>
    <t>94.67% character accuracy on the synthetic test set. Error classes tabulated (e.g. Ookar 0.48%, Ardhacandra 0.61%).</t>
  </si>
  <si>
    <t>Dataset and model covering diacritics and conjuncts, with an error-class breakdown.</t>
  </si>
  <si>
    <t>Synthetic (font-rendered) data only; limited to low-resolution images. Not validated on real handwriting.</t>
  </si>
  <si>
    <t>Medium. One of the few papers that analyses error types.</t>
  </si>
  <si>
    <t>Error classes tabulated</t>
  </si>
  <si>
    <t>https://doi.org/10.18280/isi.290311</t>
  </si>
  <si>
    <t>13_2024_Kundaikar_Modi_Document_Transcription_to_Devanagari.pdf</t>
  </si>
  <si>
    <t>Offline MODI script character recognition using deep learning techniques</t>
  </si>
  <si>
    <t>Sakshi  Mandke, Varsha Pimprale, Prakash Date</t>
  </si>
  <si>
    <t>Library Progress (International)</t>
  </si>
  <si>
    <t>Deep learning and classical ML</t>
  </si>
  <si>
    <t>4,140 images, augmented (matches the IEEE DataPort 46 x 90 set); text also mentions 48 characters</t>
  </si>
  <si>
    <t>46 / 48 (inconsistent)</t>
  </si>
  <si>
    <t>Augmentation</t>
  </si>
  <si>
    <t>KNN, SVM, CNN, VGG16, ResNet compared</t>
  </si>
  <si>
    <t>Accuracy</t>
  </si>
  <si>
    <t>KNN 75%, SVM 77%, VGG16 85%, ResNet 87%, CNN 96%.</t>
  </si>
  <si>
    <t>Side-by-side comparison of classical and deep models on one dataset.</t>
  </si>
  <si>
    <t>Classical models are run without handcrafted features (features not described), so they are weak baselines. Parts of the text repeat figures from other papers.</t>
  </si>
  <si>
    <t>High. Direct classical-vs-deep comparison; the weak KNN/SVM baselines are the gap this project addresses with fused descriptors.</t>
  </si>
  <si>
    <t>https://bpasjournals.com/library-science/index.php/journal/article/download/829/2327</t>
  </si>
  <si>
    <t>14_2024_Date_Offline_MODI_script_character_recognition_using_deep_learning_techniqu.pdf</t>
  </si>
  <si>
    <t>Preserving Cultural Heritage: Mapping of Handwritten Modi Script to Devanagari Characters</t>
  </si>
  <si>
    <t>Haazique Sayyed; Vaibhavi Pathak; Pranav Wagholikar; Subhojit Talukdar; Nakul Sharma</t>
  </si>
  <si>
    <t>International Journal of Engineering Trends and Technology</t>
  </si>
  <si>
    <t>Not reported</t>
  </si>
  <si>
    <t>Describes data collection for a Modi dataset</t>
  </si>
  <si>
    <t>Character recognition model plus rule-based Modi-to-Devanagari mapping</t>
  </si>
  <si>
    <t>No numeric results reported in the text read.</t>
  </si>
  <si>
    <t>Structured mapping between Modi and Devanagari characters and a dataset-creation approach.</t>
  </si>
  <si>
    <t>No accuracy figures or dataset details.</t>
  </si>
  <si>
    <t>Low to medium. Useful for the label-to-Devanagari mapping in the app.</t>
  </si>
  <si>
    <t>https://doi.org/10.14445/22315381/ijett-v72i8p107</t>
  </si>
  <si>
    <t>15_2024_Sayyed_Preserving_Cultural_Heritage_Mapping_of_Handwritten_Modi_Script_to_Dev.pdf</t>
  </si>
  <si>
    <t>A Review of Advances and Challenges in Modi Character Recognition</t>
  </si>
  <si>
    <t>More Meghana Laxman; Prof. S. G. Joshi</t>
  </si>
  <si>
    <t>Surveys deep learning, transfer learning, thresholding</t>
  </si>
  <si>
    <t>Review of earlier reviews</t>
  </si>
  <si>
    <t>Cites: GSC features + minimum-distance classifier 83.19% on 95,000 characters / 55 classes; ResNet50 94.55%; AlexNet 89.72%.</t>
  </si>
  <si>
    <t>Consolidates earlier survey papers.</t>
  </si>
  <si>
    <t>Overlaps heavily with paper 10 (same cited figures).</t>
  </si>
  <si>
    <t>Medium. Notes a 95,000-image, 55-class private dataset in prior work.</t>
  </si>
  <si>
    <t>https://doi.org/10.48175/ijarsct-14210</t>
  </si>
  <si>
    <t>16_2023_Laxman_A_Review_of_Advances_and_Challenges_in_Modi_Character_Recognition.pdf</t>
  </si>
  <si>
    <t>Analyzing Different Techniques to Generate Image Datasets for MODI Script Handwritten Character Recognition</t>
  </si>
  <si>
    <t>Kanchan Varpe; Sakhare Sachin</t>
  </si>
  <si>
    <t>Own collection: 595 scanned documents (650 dpi), 5,245 characters by 120 writers, 46 classes</t>
  </si>
  <si>
    <t>Segmentation, augmentation, synthetic generation; 256x256 images; 10-fold cross-validation</t>
  </si>
  <si>
    <t>Enhanced RNN, convolutional autoencoder, LSTM, GAN, DBN</t>
  </si>
  <si>
    <t>Enhanced RNN and convolutional autoencoder 88%; GAN 88%; LSTM 82%; DBN 72%.</t>
  </si>
  <si>
    <t>Compares ways of building and enlarging Modi image datasets.</t>
  </si>
  <si>
    <t>Dataset not public. Results are modest and rounded to whole percentages.</t>
  </si>
  <si>
    <t>Medium. Evidence that dataset creation is a bottleneck.</t>
  </si>
  <si>
    <t>Zernike (mentioned)</t>
  </si>
  <si>
    <t>https://ijisae.org/index.php/IJISAE/article/download/4262/2910</t>
  </si>
  <si>
    <t>17_2023_Varpe_Analyzing_Different_Techniques_to_Generate_Image_Datasets_for_MODI_Scr.pdf</t>
  </si>
  <si>
    <t>Classification of Ancient Modi Script Characters using Convolutional Neural Network</t>
  </si>
  <si>
    <t>Panchfula Lohkare; Rutuja Pol; Snehal Shnde; Omkar Zaware; Prof. Vasudha Patil</t>
  </si>
  <si>
    <t>IEEE DataPort handwritten Modi set plus own handwritten samples; 80/20 split</t>
  </si>
  <si>
    <t>48</t>
  </si>
  <si>
    <t>Segmentation, binarisation</t>
  </si>
  <si>
    <t>CNN and VGG16</t>
  </si>
  <si>
    <t>CNN: train 91.12%, validation 87.25%. VGG16: train 97.62% (validation not stated).</t>
  </si>
  <si>
    <t>CNN and VGG16 recogniser for printed and handwritten Modi.</t>
  </si>
  <si>
    <t>Only training accuracy is given for VGG16. Figures are identical to paper 4 (same journal, two years later).</t>
  </si>
  <si>
    <t>High. Same benchmark and same overfitting signature.</t>
  </si>
  <si>
    <t>https://doi.org/10.48175/ijarsct-10455</t>
  </si>
  <si>
    <t>18_2023_Lohkare_Classification_of_Ancient_Modi_Script_Characters_using_Convolutional_N.pdf</t>
  </si>
  <si>
    <t>MODI Lipi Handwritten Character Recognition Using Convolutional Neural Networks (CNN)</t>
  </si>
  <si>
    <t>International Research Journal of Modernization in Engineering Technology and Science</t>
  </si>
  <si>
    <t>Small Modi image set enlarged by augmentation (size not stated)</t>
  </si>
  <si>
    <t>Augmentation (flipping, noise)</t>
  </si>
  <si>
    <t>CNN</t>
  </si>
  <si>
    <t>Test accuracy</t>
  </si>
  <si>
    <t>Abstract: 91.62%. Results section: train 98.62%, test 96.58%.</t>
  </si>
  <si>
    <t>CNN with data augmentation for Modi characters.</t>
  </si>
  <si>
    <t>Abstract and results disagree (91.62% vs 96.58%). Dataset size and classes not given.</t>
  </si>
  <si>
    <t>Medium. Typical small-data CNN paper.</t>
  </si>
  <si>
    <t>https://doi.org/10.56726/irjmets40141</t>
  </si>
  <si>
    <t>19_2023_Unknown_MODI_Lipi_Handwritten_Character_Recognition_Using_Convolutional_Neural.pdf</t>
  </si>
  <si>
    <t>Review of Character Recognition Techniques for MODI Script</t>
  </si>
  <si>
    <t>Kanchan Varpe; Sachin Rambhau Sakhare</t>
  </si>
  <si>
    <t>Indian Journal of Science and Technology</t>
  </si>
  <si>
    <t>Review (no own data), covers 2010-2022</t>
  </si>
  <si>
    <t>Compares feature-extraction and classification methods</t>
  </si>
  <si>
    <t>Cites: CNN 99.78%; KNN 99.4% and SVM 99.3% (CNN features); Daubechies wavelet 91.75%; AlexNet 89.72%.</t>
  </si>
  <si>
    <t>Most systematic review in this set; concludes CNN is best.</t>
  </si>
  <si>
    <t>The highest cited figures come from different, mostly private datasets.</t>
  </si>
  <si>
    <t>High. Main review source; discusses Zernike features extensively.</t>
  </si>
  <si>
    <t>https://doi.org/10.17485/ijst/v16i26.485</t>
  </si>
  <si>
    <t>20_2023_Varpe_Review_of_Character_Recognition_Techniques_for_MODI_Script.pdf</t>
  </si>
  <si>
    <t>Implementing a Hybrid Deep Learning Approach to Achieve Classic Handwritten Alphanumeric MODI Recognition</t>
  </si>
  <si>
    <t>Maitreyi Ekbote; Aishwary Jadhav; Dayanand D. Ambawade</t>
  </si>
  <si>
    <t>International Journal of Engineering and Advanced Technology</t>
  </si>
  <si>
    <t>Hybrid (CNN features + classical classifier)</t>
  </si>
  <si>
    <t>About 5,000 samples: Modi characters plus 10 numerals</t>
  </si>
  <si>
    <t>VGG16 as feature extractor</t>
  </si>
  <si>
    <t>VGG16 features classified by Random Forest and XGBoost</t>
  </si>
  <si>
    <t>92% for characters and 93.3% for numerals.</t>
  </si>
  <si>
    <t>First use of Random Forest and XGBoost for Modi, on CNN features.</t>
  </si>
  <si>
    <t>Features are learned (VGG16), not handcrafted, so the model is not interpretable. Each classifier used alone (no stacking).</t>
  </si>
  <si>
    <t>High. Closest prior use of RF and XGBoost; this project differs by using handcrafted features, stacking and SHAP.</t>
  </si>
  <si>
    <t>Metric definition only</t>
  </si>
  <si>
    <t>https://doi.org/10.35940/ijeat.a3846.1012122</t>
  </si>
  <si>
    <t>21_2022_Ekbote_Implementing_a_Hybrid_Deep_Learning_Approach_to_Achieve_Classic_Handwr.pdf</t>
  </si>
  <si>
    <t>REVIEW ON MODI HANDWRITTEN CHARACTERS RECOGNITION</t>
  </si>
  <si>
    <t>Tabulates features and classifiers of prior work</t>
  </si>
  <si>
    <t>Cites: SVM 99.3%; chain code with BPM 37.5%, KNN 60%, SVM 65%; Naive Bayes 53%.</t>
  </si>
  <si>
    <t>Table of prior methods with stated future work.</t>
  </si>
  <si>
    <t>Short narrative review.</t>
  </si>
  <si>
    <t>Medium. Shows how weak classical baselines were in prior work (37-65%).</t>
  </si>
  <si>
    <t>https://doi.org/10.56726/irjmets31334</t>
  </si>
  <si>
    <t>22_2022_Unknown_REVIEW_ON_MODI_HANDWRITTEN_CHARACTERS_RECOGNITION.pdf</t>
  </si>
  <si>
    <t>Towards Modi Script Preservation: Tools for Digitization</t>
  </si>
  <si>
    <t>Kishor Patil; Neha Gupta; M Damodar; Ajai Kumar</t>
  </si>
  <si>
    <t>Computer Science and Information Technology</t>
  </si>
  <si>
    <t>Tool / resource</t>
  </si>
  <si>
    <t>Toolset: annotation and archiving system, Unicode keyboard, font (MODI-SHAHU), converters</t>
  </si>
  <si>
    <t>No recognition results (tools paper).</t>
  </si>
  <si>
    <t>Tools for collecting, annotating and digitising Modi documents.</t>
  </si>
  <si>
    <t>No OCR component; the authors list OCR as future work.</t>
  </si>
  <si>
    <t>Low to medium. Unicode font and keyboard are useful for displaying predictions.</t>
  </si>
  <si>
    <t>https://doi.org/10.5121/csit.2022.121305</t>
  </si>
  <si>
    <t>23_2022_Patil_Towards_Modi_Script_Preservation_Tools_for_Digitization.pdf</t>
  </si>
  <si>
    <t>An Experimental Exploration of Segmentation Techniques for Modi Script</t>
  </si>
  <si>
    <t>Bhumika Solanki; Maya Ingle</t>
  </si>
  <si>
    <t>International Journal of Computer Applications</t>
  </si>
  <si>
    <t>Classical ML</t>
  </si>
  <si>
    <t>Segmentation</t>
  </si>
  <si>
    <t>Individual Modi vowel, consonant and numeral images (size not stated)</t>
  </si>
  <si>
    <t>Edge detection (Prewitt, Roberts, Canny, Sobel) vs K-means clustering</t>
  </si>
  <si>
    <t>Image-quality comparison, no classifier</t>
  </si>
  <si>
    <t>PSNR / MSE / SSIM</t>
  </si>
  <si>
    <t>K-means: PSNR about 50, SSIM about 0.99. Edge methods: PSNR about 28.9, MSE about 84.</t>
  </si>
  <si>
    <t>Compares segmentation techniques on Modi character images.</t>
  </si>
  <si>
    <t>Works on isolated characters, not on lines or words. No recognition accuracy.</t>
  </si>
  <si>
    <t>Medium. Input to the segmentation stage.</t>
  </si>
  <si>
    <t>https://doi.org/10.5120/ijca2019918602</t>
  </si>
  <si>
    <t>24_2019_Solanki_An_Experimental_Exploration_of_Segmentation_Techniques_for_Modi_Script.pdf</t>
  </si>
  <si>
    <t>Designing a New Digital Font for Modi-Script</t>
  </si>
  <si>
    <t>Chatterjee Shekhar</t>
  </si>
  <si>
    <t>Ergonomics International Journal</t>
  </si>
  <si>
    <t>Digital font design (FontForge)</t>
  </si>
  <si>
    <t>No recognition results (font design).</t>
  </si>
  <si>
    <t>Designs a new, regularised digital Modi font.</t>
  </si>
  <si>
    <t>Not a recognition paper.</t>
  </si>
  <si>
    <t>Low. Background on character shapes.</t>
  </si>
  <si>
    <t>https://doi.org/10.23880/eoij-16000150</t>
  </si>
  <si>
    <t>25_2018_Shekhar_Designing_a_New_Digital_Font_for_Modi_Script.pdf</t>
  </si>
  <si>
    <t>An Approach for Recognizing Modi Lipi using Ostu's Binarization Algorithm and Kohenen Neural Network</t>
  </si>
  <si>
    <t>Sidra Anam; Saurabh Gupta</t>
  </si>
  <si>
    <t>Own handwritten samples; 8 training images per character</t>
  </si>
  <si>
    <t>22</t>
  </si>
  <si>
    <t>Grayscale conversion, Otsu binarisation, segmentation</t>
  </si>
  <si>
    <t>Kohonen neural network (self-organising map)</t>
  </si>
  <si>
    <t>Recognition rate</t>
  </si>
  <si>
    <t>72.6% overall for handwritten characters; lower for similar-shaped characters.</t>
  </si>
  <si>
    <t>Early Modi recogniser (MSCR) using Otsu binarisation.</t>
  </si>
  <si>
    <t>Only 22 of the characters, 8 training images each, private data.</t>
  </si>
  <si>
    <t>High for preprocessing: source for the Otsu binarisation step used in this project.</t>
  </si>
  <si>
    <t>https://doi.org/10.5120/19511-1128</t>
  </si>
  <si>
    <t>26_2015_Anam_An_Approach_for_Recognizing_Modi_Lipi_using_Ostu_s_Binarization_Algori.pdf</t>
  </si>
  <si>
    <t>Review on Recent Advances in Automatic Handwritten MODI Script Recognition</t>
  </si>
  <si>
    <t>Kulkarni SadanandA.; Borde Prashant L.; Manza Ramesh R.; Yannawar Pravin L.</t>
  </si>
  <si>
    <t>Surveys preprocessing, segmentation, feature extraction, classification</t>
  </si>
  <si>
    <t>Cites recognition rates from 65.3% to 97% in early work.</t>
  </si>
  <si>
    <t>Early review of handwritten Modi OCR.</t>
  </si>
  <si>
    <t>Pre-deep-learning; many cited datasets described as unclear.</t>
  </si>
  <si>
    <t>Medium. Historical baseline.</t>
  </si>
  <si>
    <t>https://doi.org/10.5120/20257-2636</t>
  </si>
  <si>
    <t>27_2015_SadanandA._Review_on_Recent_Advances_in_Automatic_Handwritten_MODI_Script_Recogni.pdf</t>
  </si>
  <si>
    <t>Recognition of Handwritten MODI Numerals using Hu and Zernike features</t>
  </si>
  <si>
    <t>Sadanand A. Kulkarni; Prashant L. Borde; Ramesh R. Manza; Pravin L. Yannawar</t>
  </si>
  <si>
    <t>arXiv preprint (1404.1151)</t>
  </si>
  <si>
    <t>Own numeral set: 10 numerals x 10 samples = 100 images; 70/30 split</t>
  </si>
  <si>
    <t>10 (numerals)</t>
  </si>
  <si>
    <t>Hu's seven invariant moments vs Zernike moments (up to 9th order)</t>
  </si>
  <si>
    <t>Distance-based matching</t>
  </si>
  <si>
    <t>Hu moments 70% (21/30); Zernike moments 86.66% (26/30).</t>
  </si>
  <si>
    <t>Shows Zernike moments beat Hu moments for Modi numerals.</t>
  </si>
  <si>
    <t>Only 100 images and 30 test samples; numerals only. arXiv preprint.</t>
  </si>
  <si>
    <t>High. Direct support for using Zernike moments as one descriptor family.</t>
  </si>
  <si>
    <t>Zernike + Hu (compared, not fused)</t>
  </si>
  <si>
    <t>https://doi.org/10.48550/arXiv.1404.1151</t>
  </si>
  <si>
    <t>28_2014_Kulkarni_Recognition_of_Handwritten_MODI_Numerals_using_Hu_and_Zernike_features.pdf</t>
  </si>
  <si>
    <t>Study for Theoretical Analysis of Handwritten MODI Script A Recognition Perspective</t>
  </si>
  <si>
    <t>D. N. Besekar; Rakesh Jagdish Ramteke</t>
  </si>
  <si>
    <t>Theoretical analysis (no data)</t>
  </si>
  <si>
    <t>Structural features of Modi characters</t>
  </si>
  <si>
    <t>Rule-based structural classification (theoretical)</t>
  </si>
  <si>
    <t>No experimental results.</t>
  </si>
  <si>
    <t>Analyses why Modi is hard to recognise and how it differs from Devanagari.</t>
  </si>
  <si>
    <t>No implementation.</t>
  </si>
  <si>
    <t>Medium. Justifies the difficulty of similar-shaped characters.</t>
  </si>
  <si>
    <t>https://doi.org/10.5120/10618-5340</t>
  </si>
  <si>
    <t>29_2013_Besekar_Study_for_Theoretical_Analysis_of_Handwritten_MODI_Script_A_Recognitio.pdf</t>
  </si>
  <si>
    <t>Proposal to Encode the Modi Script in ISO/IEC 10646</t>
  </si>
  <si>
    <t>Anshuman Pandey</t>
  </si>
  <si>
    <t>Unicode Technical Committee document L2/11-212R2 (N4034)</t>
  </si>
  <si>
    <t>Standard / reference</t>
  </si>
  <si>
    <t>79 encoded characters</t>
  </si>
  <si>
    <t>Unicode encoding proposal (block U+11600-U+1165F)</t>
  </si>
  <si>
    <t>Defines 79 Modi characters: vowels, consonants, vowel signs, digits and punctuation.</t>
  </si>
  <si>
    <t>Authoritative character inventory for Modi.</t>
  </si>
  <si>
    <t>High for labelling: reference for the class inventory (46 vs 47 vs 57 question) and Unicode output.</t>
  </si>
  <si>
    <t>https://www.unicode.org/L2/L2011/11212r2-n4034-modi.pdf</t>
  </si>
  <si>
    <t>30_2011_Pandey_Proposal_to_Encode_the_Modi_Script_in_ISO_IEC_10646.pdf</t>
  </si>
  <si>
    <t>Literature survey summary: 30 papers on Modi script</t>
  </si>
  <si>
    <t>Every number on this sheet is a formula over the 'Literature Survey' sheet and updates if that sheet is edited.</t>
  </si>
  <si>
    <t>Papers by type</t>
  </si>
  <si>
    <t>Total papers</t>
  </si>
  <si>
    <t>Papers by task</t>
  </si>
  <si>
    <t>Experimental papers by approach</t>
  </si>
  <si>
    <t>Deep learning only</t>
  </si>
  <si>
    <t>Classical ML only</t>
  </si>
  <si>
    <t>Both deep and classical compared</t>
  </si>
  <si>
    <t>Papers by period</t>
  </si>
  <si>
    <t>2011-2015</t>
  </si>
  <si>
    <t>2016-2020</t>
  </si>
  <si>
    <t>2021-2023</t>
  </si>
  <si>
    <t>2024-2026</t>
  </si>
  <si>
    <t>Reported accuracy: character recognition papers only</t>
  </si>
  <si>
    <t>Papers reporting a figure</t>
  </si>
  <si>
    <t>Figures come from different datasets, class counts and metrics (validation vs test). They are NOT directly comparable.</t>
  </si>
  <si>
    <t>Lowest reported (%)</t>
  </si>
  <si>
    <t>Highest reported (%)</t>
  </si>
  <si>
    <t>Mean reported (%)</t>
  </si>
  <si>
    <t>Evidence for the research gaps</t>
  </si>
  <si>
    <t>Papers that APPLY an explainability method (SHAP / LIME / Grad-CAM)</t>
  </si>
  <si>
    <t>Text of all 30 papers was searched. Three papers mention explainability in passing; none applies it.</t>
  </si>
  <si>
    <t>Papers that only mention explainability</t>
  </si>
  <si>
    <t>Papers that use or mention LBP</t>
  </si>
  <si>
    <t>No paper in this set mentions Local Binary Patterns anywhere in its text.</t>
  </si>
  <si>
    <t>Papers that fuse two or more handcrafted descriptor families</t>
  </si>
  <si>
    <t>Paper 28 compares Hu and Zernike moments separately; it does not fuse them.</t>
  </si>
  <si>
    <t>Papers that publish a confused-pairs table for characters</t>
  </si>
  <si>
    <t>Paper 6 describes confusion in words, paper 13 tabulates transliteration error classes; none tabulates confused character pairs.</t>
  </si>
  <si>
    <t>Experimental papers using the 46 x 90 IEEE DataPort benchmark</t>
  </si>
  <si>
    <t>Papers 4, 6, 14 and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</si>
</sst>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name val="Arial"/>
    </font>
    <font>
      <b/>
      <sz val="10"/>
      <color rgb="FFFFFFFF"/>
      <name val="Arial"/>
    </font>
    <font>
      <u/>
      <sz val="10"/>
      <color rgb="FF0563C1"/>
      <name val="Arial"/>
    </font>
    <font>
      <b/>
      <sz val="14"/>
      <color rgb="FF1F3A5F"/>
      <name val="Arial"/>
    </font>
    <font>
      <i/>
      <sz val="9"/>
      <color rgb="FF666666"/>
      <name val="Arial"/>
    </font>
    <font>
      <b/>
      <sz val="12"/>
      <color rgb="FF1F3A5F"/>
      <name val="Arial"/>
    </font>
    <font>
      <sz val="10"/>
      <color rgb="FF000000"/>
      <name val="Arial"/>
    </font>
  </fonts>
  <fills count="3">
    <fill>
      <patternFill patternType="none"/>
    </fill>
    <fill>
      <patternFill patternType="gray125"/>
    </fill>
    <fill>
      <patternFill patternType="solid">
        <fgColor rgb="FF1F3A5F"/>
      </patternFill>
    </fill>
  </fills>
  <borders count="2">
    <border>
      <left/>
      <right/>
      <top/>
      <bottom/>
      <diagonal/>
    </border>
    <border>
      <left style="thin">
        <color rgb="FFC9C2B2"/>
      </left>
      <right style="thin">
        <color rgb="FFC9C2B2"/>
      </right>
      <top style="thin">
        <color rgb="FFC9C2B2"/>
      </top>
      <bottom style="thin">
        <color rgb="FFC9C2B2"/>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wrapText="1"/>
    </xf>
    <xf numFmtId="0" fontId="1" fillId="0" borderId="1" xfId="0" applyFont="1" applyBorder="1" applyAlignment="1">
      <alignment horizontal="center" vertical="top"/>
    </xf>
    <xf numFmtId="0" fontId="1" fillId="0" borderId="1" xfId="0" applyFont="1" applyBorder="1" applyAlignment="1">
      <alignment vertical="top" wrapText="1"/>
    </xf>
    <xf numFmtId="2" fontId="1" fillId="0" borderId="1" xfId="0" applyNumberFormat="1" applyFont="1" applyBorder="1" applyAlignment="1">
      <alignment vertical="top" wrapText="1"/>
    </xf>
    <xf numFmtId="0" fontId="3" fillId="0" borderId="1" xfId="0" applyFont="1" applyBorder="1" applyAlignment="1">
      <alignment vertical="top" wrapText="1"/>
    </xf>
    <xf numFmtId="0" fontId="4" fillId="0" borderId="0" xfId="0" applyFont="1"/>
    <xf numFmtId="0" fontId="5" fillId="0" borderId="0" xfId="0" applyFont="1"/>
    <xf numFmtId="0" fontId="6" fillId="0" borderId="0" xfId="0" applyFont="1"/>
    <xf numFmtId="0" fontId="1" fillId="0" borderId="0" xfId="0" applyFont="1"/>
    <xf numFmtId="0" fontId="1" fillId="0" borderId="0" xfId="0" applyFont="1" applyAlignment="1">
      <alignment horizontal="right"/>
    </xf>
    <xf numFmtId="0" fontId="5" fillId="0" borderId="0" xfId="0" applyFont="1" applyAlignment="1">
      <alignment vertical="top" wrapText="1"/>
    </xf>
    <xf numFmtId="2" fontId="1" fillId="0" borderId="0" xfId="0" applyNumberFormat="1" applyFont="1" applyAlignment="1">
      <alignment horizontal="right"/>
    </xf>
    <xf numFmtId="0" fontId="6" fillId="0" borderId="0" xfId="0" applyFont="1" applyAlignment="1">
      <alignment vertical="top" wrapText="1"/>
    </xf>
    <xf numFmtId="0" fontId="7"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rvey" displayName="Survey" ref="A1:W31">
  <autoFilter ref="A1:W31" xr:uid="{00000000-0009-0000-0100-000001000000}"/>
  <tableColumns count="23">
    <tableColumn id="1" xr3:uid="{00000000-0010-0000-0000-000001000000}" name="No"/>
    <tableColumn id="2" xr3:uid="{00000000-0010-0000-0000-000002000000}" name="Year"/>
    <tableColumn id="3" xr3:uid="{00000000-0010-0000-0000-000003000000}" name="Title"/>
    <tableColumn id="4" xr3:uid="{00000000-0010-0000-0000-000004000000}" name="Authors"/>
    <tableColumn id="5" xr3:uid="{00000000-0010-0000-0000-000005000000}" name="Venue"/>
    <tableColumn id="6" xr3:uid="{00000000-0010-0000-0000-000006000000}" name="Paper type"/>
    <tableColumn id="7" xr3:uid="{00000000-0010-0000-0000-000007000000}" name="Approach"/>
    <tableColumn id="8" xr3:uid="{00000000-0010-0000-0000-000008000000}" name="Task"/>
    <tableColumn id="9" xr3:uid="{00000000-0010-0000-0000-000009000000}" name="Dataset"/>
    <tableColumn id="10" xr3:uid="{00000000-0010-0000-0000-00000A000000}" name="Classes"/>
    <tableColumn id="11" xr3:uid="{00000000-0010-0000-0000-00000B000000}" name="Preprocessing / features"/>
    <tableColumn id="12" xr3:uid="{00000000-0010-0000-0000-00000C000000}" name="Model / classifier"/>
    <tableColumn id="13" xr3:uid="{00000000-0010-0000-0000-00000D000000}" name="Metric"/>
    <tableColumn id="14" xr3:uid="{00000000-0010-0000-0000-00000E000000}" name="Best reported (%)"/>
    <tableColumn id="15" xr3:uid="{00000000-0010-0000-0000-00000F000000}" name="Results as stated in the paper"/>
    <tableColumn id="16" xr3:uid="{00000000-0010-0000-0000-000010000000}" name="Key contribution"/>
    <tableColumn id="17" xr3:uid="{00000000-0010-0000-0000-000011000000}" name="Limitations / gaps observed"/>
    <tableColumn id="18" xr3:uid="{00000000-0010-0000-0000-000012000000}" name="Relevance to this project"/>
    <tableColumn id="19" xr3:uid="{00000000-0010-0000-0000-000013000000}" name="Explainability (SHAP / LIME / Grad-CAM)"/>
    <tableColumn id="20" xr3:uid="{00000000-0010-0000-0000-000014000000}" name="Confusion analysis"/>
    <tableColumn id="21" xr3:uid="{00000000-0010-0000-0000-000015000000}" name="Handcrafted descriptors (HOG / Zernike / LBP)"/>
    <tableColumn id="22" xr3:uid="{00000000-0010-0000-0000-000016000000}" name="DOI / link"/>
    <tableColumn id="23" xr3:uid="{00000000-0010-0000-0000-000017000000}" name="PDF fil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48175/ijarsct-25318" TargetMode="External"/><Relationship Id="rId13" Type="http://schemas.openxmlformats.org/officeDocument/2006/relationships/hyperlink" Target="https://doi.org/10.18280/isi.290311" TargetMode="External"/><Relationship Id="rId18" Type="http://schemas.openxmlformats.org/officeDocument/2006/relationships/hyperlink" Target="https://doi.org/10.48175/ijarsct-10455" TargetMode="External"/><Relationship Id="rId26" Type="http://schemas.openxmlformats.org/officeDocument/2006/relationships/hyperlink" Target="https://doi.org/10.5120/19511-1128" TargetMode="External"/><Relationship Id="rId3" Type="http://schemas.openxmlformats.org/officeDocument/2006/relationships/hyperlink" Target="https://doi.org/10.51584/ijrias.2026.11030031" TargetMode="External"/><Relationship Id="rId21" Type="http://schemas.openxmlformats.org/officeDocument/2006/relationships/hyperlink" Target="https://doi.org/10.35940/ijeat.a3846.1012122" TargetMode="External"/><Relationship Id="rId7" Type="http://schemas.openxmlformats.org/officeDocument/2006/relationships/hyperlink" Target="https://doi.org/10.52783/jisem.v10i10s.1403" TargetMode="External"/><Relationship Id="rId12" Type="http://schemas.openxmlformats.org/officeDocument/2006/relationships/hyperlink" Target="https://doi.org/10.47839/ijc.23.4.3540" TargetMode="External"/><Relationship Id="rId17" Type="http://schemas.openxmlformats.org/officeDocument/2006/relationships/hyperlink" Target="https://ijisae.org/index.php/IJISAE/article/download/4262/2910" TargetMode="External"/><Relationship Id="rId25" Type="http://schemas.openxmlformats.org/officeDocument/2006/relationships/hyperlink" Target="https://doi.org/10.23880/eoij-16000150" TargetMode="External"/><Relationship Id="rId2" Type="http://schemas.openxmlformats.org/officeDocument/2006/relationships/hyperlink" Target="https://doi.org/10.29284/s06egq94" TargetMode="External"/><Relationship Id="rId16" Type="http://schemas.openxmlformats.org/officeDocument/2006/relationships/hyperlink" Target="https://doi.org/10.48175/ijarsct-14210" TargetMode="External"/><Relationship Id="rId20" Type="http://schemas.openxmlformats.org/officeDocument/2006/relationships/hyperlink" Target="https://doi.org/10.17485/ijst/v16i26.485" TargetMode="External"/><Relationship Id="rId29" Type="http://schemas.openxmlformats.org/officeDocument/2006/relationships/hyperlink" Target="https://doi.org/10.5120/10618-5340" TargetMode="External"/><Relationship Id="rId1" Type="http://schemas.openxmlformats.org/officeDocument/2006/relationships/hyperlink" Target="https://doi.org/10.65521/ijaece.v15i1s.1383" TargetMode="External"/><Relationship Id="rId6" Type="http://schemas.openxmlformats.org/officeDocument/2006/relationships/hyperlink" Target="https://doi.org/10.48175/ijarsct-25309" TargetMode="External"/><Relationship Id="rId11" Type="http://schemas.openxmlformats.org/officeDocument/2006/relationships/hyperlink" Target="https://ijisae.org/index.php/IJISAE/article/download/4841/3529" TargetMode="External"/><Relationship Id="rId24" Type="http://schemas.openxmlformats.org/officeDocument/2006/relationships/hyperlink" Target="https://doi.org/10.5120/ijca2019918602" TargetMode="External"/><Relationship Id="rId5" Type="http://schemas.openxmlformats.org/officeDocument/2006/relationships/hyperlink" Target="https://doi.org/10.48550/arXiv.2503.13060" TargetMode="External"/><Relationship Id="rId15" Type="http://schemas.openxmlformats.org/officeDocument/2006/relationships/hyperlink" Target="https://doi.org/10.14445/22315381/ijett-v72i8p107" TargetMode="External"/><Relationship Id="rId23" Type="http://schemas.openxmlformats.org/officeDocument/2006/relationships/hyperlink" Target="https://doi.org/10.5121/csit.2022.121305" TargetMode="External"/><Relationship Id="rId28" Type="http://schemas.openxmlformats.org/officeDocument/2006/relationships/hyperlink" Target="https://doi.org/10.48550/arXiv.1404.1151" TargetMode="External"/><Relationship Id="rId10" Type="http://schemas.openxmlformats.org/officeDocument/2006/relationships/hyperlink" Target="https://doi.org/10.48175/ijarsct-22266" TargetMode="External"/><Relationship Id="rId19" Type="http://schemas.openxmlformats.org/officeDocument/2006/relationships/hyperlink" Target="https://doi.org/10.56726/irjmets40141" TargetMode="External"/><Relationship Id="rId31" Type="http://schemas.openxmlformats.org/officeDocument/2006/relationships/table" Target="../tables/table1.xml"/><Relationship Id="rId4" Type="http://schemas.openxmlformats.org/officeDocument/2006/relationships/hyperlink" Target="https://doi.org/10.48175/ijarsct-25317" TargetMode="External"/><Relationship Id="rId9" Type="http://schemas.openxmlformats.org/officeDocument/2006/relationships/hyperlink" Target="https://doi.org/10.48175/ijarsct-18713" TargetMode="External"/><Relationship Id="rId14" Type="http://schemas.openxmlformats.org/officeDocument/2006/relationships/hyperlink" Target="https://bpasjournals.com/library-science/index.php/journal/article/download/829/2327" TargetMode="External"/><Relationship Id="rId22" Type="http://schemas.openxmlformats.org/officeDocument/2006/relationships/hyperlink" Target="https://doi.org/10.56726/irjmets31334" TargetMode="External"/><Relationship Id="rId27" Type="http://schemas.openxmlformats.org/officeDocument/2006/relationships/hyperlink" Target="https://doi.org/10.5120/20257-2636" TargetMode="External"/><Relationship Id="rId30" Type="http://schemas.openxmlformats.org/officeDocument/2006/relationships/hyperlink" Target="https://www.unicode.org/L2/L2011/11212r2-n4034-mod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1"/>
  <sheetViews>
    <sheetView tabSelected="1" workbookViewId="0">
      <pane xSplit="3" ySplit="1" topLeftCell="D2" activePane="bottomRight" state="frozen"/>
      <selection pane="topRight"/>
      <selection pane="bottomLeft"/>
      <selection pane="bottomRight"/>
    </sheetView>
  </sheetViews>
  <sheetFormatPr defaultRowHeight="14.5" x14ac:dyDescent="0.35"/>
  <cols>
    <col min="1" max="1" width="5" customWidth="1"/>
    <col min="2" max="2" width="7" customWidth="1"/>
    <col min="3" max="3" width="42" customWidth="1"/>
    <col min="4" max="4" width="30" customWidth="1"/>
    <col min="5" max="5" width="28" customWidth="1"/>
    <col min="6" max="6" width="16" customWidth="1"/>
    <col min="7" max="8" width="20" customWidth="1"/>
    <col min="9" max="9" width="40" customWidth="1"/>
    <col min="10" max="10" width="12" customWidth="1"/>
    <col min="11" max="12" width="36" customWidth="1"/>
    <col min="13" max="13" width="16" customWidth="1"/>
    <col min="14" max="14" width="11" customWidth="1"/>
    <col min="15" max="15" width="48" customWidth="1"/>
    <col min="16" max="16" width="40" customWidth="1"/>
    <col min="17" max="17" width="48" customWidth="1"/>
    <col min="18" max="18" width="44" customWidth="1"/>
    <col min="19" max="20" width="18" customWidth="1"/>
    <col min="21" max="21" width="24" customWidth="1"/>
    <col min="22" max="22" width="34" customWidth="1"/>
    <col min="23" max="23" width="30" customWidth="1"/>
  </cols>
  <sheetData>
    <row r="1" spans="1:23" ht="42"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ht="120" customHeight="1" x14ac:dyDescent="0.35">
      <c r="A2" s="2">
        <v>1</v>
      </c>
      <c r="B2" s="2">
        <v>2026</v>
      </c>
      <c r="C2" s="3" t="s">
        <v>23</v>
      </c>
      <c r="D2" s="3" t="s">
        <v>24</v>
      </c>
      <c r="E2" s="3" t="s">
        <v>25</v>
      </c>
      <c r="F2" s="3" t="s">
        <v>26</v>
      </c>
      <c r="G2" s="3" t="s">
        <v>27</v>
      </c>
      <c r="H2" s="3" t="s">
        <v>28</v>
      </c>
      <c r="I2" s="3" t="s">
        <v>29</v>
      </c>
      <c r="J2" s="3"/>
      <c r="K2" s="3" t="s">
        <v>30</v>
      </c>
      <c r="L2" s="3" t="s">
        <v>31</v>
      </c>
      <c r="M2" s="3"/>
      <c r="N2" s="4"/>
      <c r="O2" s="3" t="s">
        <v>32</v>
      </c>
      <c r="P2" s="3" t="s">
        <v>33</v>
      </c>
      <c r="Q2" s="3" t="s">
        <v>34</v>
      </c>
      <c r="R2" s="3" t="s">
        <v>35</v>
      </c>
      <c r="S2" s="3" t="s">
        <v>0</v>
      </c>
      <c r="T2" s="3" t="s">
        <v>0</v>
      </c>
      <c r="U2" s="3" t="s">
        <v>36</v>
      </c>
      <c r="V2" s="5" t="s">
        <v>37</v>
      </c>
      <c r="W2" s="3" t="s">
        <v>38</v>
      </c>
    </row>
    <row r="3" spans="1:23" ht="120" customHeight="1" x14ac:dyDescent="0.35">
      <c r="A3" s="2">
        <v>2</v>
      </c>
      <c r="B3" s="2">
        <v>2026</v>
      </c>
      <c r="C3" s="3" t="s">
        <v>39</v>
      </c>
      <c r="D3" s="3" t="s">
        <v>40</v>
      </c>
      <c r="E3" s="3" t="s">
        <v>41</v>
      </c>
      <c r="F3" s="3" t="s">
        <v>42</v>
      </c>
      <c r="G3" s="3" t="s">
        <v>43</v>
      </c>
      <c r="H3" s="3" t="s">
        <v>44</v>
      </c>
      <c r="I3" s="3" t="s">
        <v>45</v>
      </c>
      <c r="J3" s="3"/>
      <c r="K3" s="3" t="s">
        <v>46</v>
      </c>
      <c r="L3" s="3" t="s">
        <v>47</v>
      </c>
      <c r="M3" s="3" t="s">
        <v>48</v>
      </c>
      <c r="N3" s="4">
        <v>85.16</v>
      </c>
      <c r="O3" s="3" t="s">
        <v>49</v>
      </c>
      <c r="P3" s="3" t="s">
        <v>50</v>
      </c>
      <c r="Q3" s="3" t="s">
        <v>51</v>
      </c>
      <c r="R3" s="3" t="s">
        <v>52</v>
      </c>
      <c r="S3" s="3" t="s">
        <v>0</v>
      </c>
      <c r="T3" s="3" t="s">
        <v>0</v>
      </c>
      <c r="U3" s="3" t="s">
        <v>36</v>
      </c>
      <c r="V3" s="5" t="s">
        <v>53</v>
      </c>
      <c r="W3" s="3" t="s">
        <v>54</v>
      </c>
    </row>
    <row r="4" spans="1:23" ht="120" customHeight="1" x14ac:dyDescent="0.35">
      <c r="A4" s="2">
        <v>3</v>
      </c>
      <c r="B4" s="2">
        <v>2026</v>
      </c>
      <c r="C4" s="3" t="s">
        <v>55</v>
      </c>
      <c r="D4" s="3" t="s">
        <v>56</v>
      </c>
      <c r="E4" s="3" t="s">
        <v>57</v>
      </c>
      <c r="F4" s="3" t="s">
        <v>26</v>
      </c>
      <c r="G4" s="3" t="s">
        <v>43</v>
      </c>
      <c r="H4" s="3" t="s">
        <v>44</v>
      </c>
      <c r="I4" s="3" t="s">
        <v>58</v>
      </c>
      <c r="J4" s="3"/>
      <c r="K4" s="3" t="s">
        <v>59</v>
      </c>
      <c r="L4" s="3" t="s">
        <v>60</v>
      </c>
      <c r="M4" s="3"/>
      <c r="N4" s="4"/>
      <c r="O4" s="3" t="s">
        <v>61</v>
      </c>
      <c r="P4" s="3" t="s">
        <v>62</v>
      </c>
      <c r="Q4" s="3" t="s">
        <v>63</v>
      </c>
      <c r="R4" s="3" t="s">
        <v>64</v>
      </c>
      <c r="S4" s="3" t="s">
        <v>0</v>
      </c>
      <c r="T4" s="3" t="s">
        <v>0</v>
      </c>
      <c r="U4" s="3" t="s">
        <v>36</v>
      </c>
      <c r="V4" s="5" t="s">
        <v>65</v>
      </c>
      <c r="W4" s="3" t="s">
        <v>66</v>
      </c>
    </row>
    <row r="5" spans="1:23" ht="120" customHeight="1" x14ac:dyDescent="0.35">
      <c r="A5" s="2">
        <v>4</v>
      </c>
      <c r="B5" s="2">
        <v>2025</v>
      </c>
      <c r="C5" s="3" t="s">
        <v>67</v>
      </c>
      <c r="D5" s="3" t="s">
        <v>68</v>
      </c>
      <c r="E5" s="3" t="s">
        <v>69</v>
      </c>
      <c r="F5" s="3" t="s">
        <v>42</v>
      </c>
      <c r="G5" s="3" t="s">
        <v>43</v>
      </c>
      <c r="H5" s="3" t="s">
        <v>70</v>
      </c>
      <c r="I5" s="3" t="s">
        <v>71</v>
      </c>
      <c r="J5" s="3" t="s">
        <v>72</v>
      </c>
      <c r="K5" s="3" t="s">
        <v>73</v>
      </c>
      <c r="L5" s="3" t="s">
        <v>74</v>
      </c>
      <c r="M5" s="3" t="s">
        <v>75</v>
      </c>
      <c r="N5" s="4">
        <v>89.5</v>
      </c>
      <c r="O5" s="3" t="s">
        <v>76</v>
      </c>
      <c r="P5" s="3" t="s">
        <v>77</v>
      </c>
      <c r="Q5" s="3" t="s">
        <v>78</v>
      </c>
      <c r="R5" s="3" t="s">
        <v>79</v>
      </c>
      <c r="S5" s="3" t="s">
        <v>80</v>
      </c>
      <c r="T5" s="3" t="s">
        <v>0</v>
      </c>
      <c r="U5" s="3" t="s">
        <v>36</v>
      </c>
      <c r="V5" s="5" t="s">
        <v>81</v>
      </c>
      <c r="W5" s="3" t="s">
        <v>82</v>
      </c>
    </row>
    <row r="6" spans="1:23" ht="120" customHeight="1" x14ac:dyDescent="0.35">
      <c r="A6" s="2">
        <v>5</v>
      </c>
      <c r="B6" s="2">
        <v>2025</v>
      </c>
      <c r="C6" s="3" t="s">
        <v>83</v>
      </c>
      <c r="D6" s="3" t="s">
        <v>84</v>
      </c>
      <c r="E6" s="3" t="s">
        <v>85</v>
      </c>
      <c r="F6" s="3" t="s">
        <v>42</v>
      </c>
      <c r="G6" s="3" t="s">
        <v>43</v>
      </c>
      <c r="H6" s="3" t="s">
        <v>44</v>
      </c>
      <c r="I6" s="3" t="s">
        <v>86</v>
      </c>
      <c r="J6" s="3"/>
      <c r="K6" s="3" t="s">
        <v>87</v>
      </c>
      <c r="L6" s="3" t="s">
        <v>88</v>
      </c>
      <c r="M6" s="3" t="s">
        <v>89</v>
      </c>
      <c r="N6" s="4"/>
      <c r="O6" s="3" t="s">
        <v>90</v>
      </c>
      <c r="P6" s="3" t="s">
        <v>91</v>
      </c>
      <c r="Q6" s="3" t="s">
        <v>92</v>
      </c>
      <c r="R6" s="3" t="s">
        <v>93</v>
      </c>
      <c r="S6" s="3" t="s">
        <v>0</v>
      </c>
      <c r="T6" s="3" t="s">
        <v>0</v>
      </c>
      <c r="U6" s="3" t="s">
        <v>36</v>
      </c>
      <c r="V6" s="5" t="s">
        <v>94</v>
      </c>
      <c r="W6" s="3" t="s">
        <v>95</v>
      </c>
    </row>
    <row r="7" spans="1:23" ht="120" customHeight="1" x14ac:dyDescent="0.35">
      <c r="A7" s="2">
        <v>6</v>
      </c>
      <c r="B7" s="2">
        <v>2025</v>
      </c>
      <c r="C7" s="3" t="s">
        <v>96</v>
      </c>
      <c r="D7" s="3" t="s">
        <v>97</v>
      </c>
      <c r="E7" s="3" t="s">
        <v>69</v>
      </c>
      <c r="F7" s="3" t="s">
        <v>42</v>
      </c>
      <c r="G7" s="3" t="s">
        <v>43</v>
      </c>
      <c r="H7" s="3" t="s">
        <v>70</v>
      </c>
      <c r="I7" s="3" t="s">
        <v>98</v>
      </c>
      <c r="J7" s="3" t="s">
        <v>72</v>
      </c>
      <c r="K7" s="3" t="s">
        <v>99</v>
      </c>
      <c r="L7" s="3" t="s">
        <v>100</v>
      </c>
      <c r="M7" s="3" t="s">
        <v>75</v>
      </c>
      <c r="N7" s="4">
        <v>94.6</v>
      </c>
      <c r="O7" s="3" t="s">
        <v>101</v>
      </c>
      <c r="P7" s="3" t="s">
        <v>102</v>
      </c>
      <c r="Q7" s="3" t="s">
        <v>103</v>
      </c>
      <c r="R7" s="3" t="s">
        <v>104</v>
      </c>
      <c r="S7" s="3" t="s">
        <v>0</v>
      </c>
      <c r="T7" s="3" t="s">
        <v>105</v>
      </c>
      <c r="U7" s="3" t="s">
        <v>36</v>
      </c>
      <c r="V7" s="5" t="s">
        <v>106</v>
      </c>
      <c r="W7" s="3" t="s">
        <v>107</v>
      </c>
    </row>
    <row r="8" spans="1:23" ht="120" customHeight="1" x14ac:dyDescent="0.35">
      <c r="A8" s="2">
        <v>7</v>
      </c>
      <c r="B8" s="2">
        <v>2025</v>
      </c>
      <c r="C8" s="3" t="s">
        <v>108</v>
      </c>
      <c r="D8" s="3" t="s">
        <v>109</v>
      </c>
      <c r="E8" s="3" t="s">
        <v>110</v>
      </c>
      <c r="F8" s="3" t="s">
        <v>42</v>
      </c>
      <c r="G8" s="3" t="s">
        <v>43</v>
      </c>
      <c r="H8" s="3" t="s">
        <v>70</v>
      </c>
      <c r="I8" s="3" t="s">
        <v>111</v>
      </c>
      <c r="J8" s="3" t="s">
        <v>112</v>
      </c>
      <c r="K8" s="3" t="s">
        <v>113</v>
      </c>
      <c r="L8" s="3" t="s">
        <v>114</v>
      </c>
      <c r="M8" s="3" t="s">
        <v>115</v>
      </c>
      <c r="N8" s="4">
        <v>97.38</v>
      </c>
      <c r="O8" s="3" t="s">
        <v>116</v>
      </c>
      <c r="P8" s="3" t="s">
        <v>117</v>
      </c>
      <c r="Q8" s="3" t="s">
        <v>118</v>
      </c>
      <c r="R8" s="3" t="s">
        <v>119</v>
      </c>
      <c r="S8" s="3" t="s">
        <v>0</v>
      </c>
      <c r="T8" s="3" t="s">
        <v>0</v>
      </c>
      <c r="U8" s="3" t="s">
        <v>36</v>
      </c>
      <c r="V8" s="5" t="s">
        <v>120</v>
      </c>
      <c r="W8" s="3" t="s">
        <v>121</v>
      </c>
    </row>
    <row r="9" spans="1:23" ht="120" customHeight="1" x14ac:dyDescent="0.35">
      <c r="A9" s="2">
        <v>8</v>
      </c>
      <c r="B9" s="2">
        <v>2025</v>
      </c>
      <c r="C9" s="3" t="s">
        <v>122</v>
      </c>
      <c r="D9" s="3" t="s">
        <v>123</v>
      </c>
      <c r="E9" s="3" t="s">
        <v>69</v>
      </c>
      <c r="F9" s="3" t="s">
        <v>124</v>
      </c>
      <c r="G9" s="3" t="s">
        <v>27</v>
      </c>
      <c r="H9" s="3" t="s">
        <v>70</v>
      </c>
      <c r="I9" s="3" t="s">
        <v>125</v>
      </c>
      <c r="J9" s="3"/>
      <c r="K9" s="3" t="s">
        <v>126</v>
      </c>
      <c r="L9" s="3" t="s">
        <v>124</v>
      </c>
      <c r="M9" s="3"/>
      <c r="N9" s="4"/>
      <c r="O9" s="3" t="s">
        <v>127</v>
      </c>
      <c r="P9" s="3" t="s">
        <v>128</v>
      </c>
      <c r="Q9" s="3" t="s">
        <v>129</v>
      </c>
      <c r="R9" s="3" t="s">
        <v>130</v>
      </c>
      <c r="S9" s="3" t="s">
        <v>80</v>
      </c>
      <c r="T9" s="3" t="s">
        <v>0</v>
      </c>
      <c r="U9" s="3" t="s">
        <v>36</v>
      </c>
      <c r="V9" s="5" t="s">
        <v>131</v>
      </c>
      <c r="W9" s="3" t="s">
        <v>132</v>
      </c>
    </row>
    <row r="10" spans="1:23" ht="120" customHeight="1" x14ac:dyDescent="0.35">
      <c r="A10" s="2">
        <v>9</v>
      </c>
      <c r="B10" s="2">
        <v>2024</v>
      </c>
      <c r="C10" s="3" t="s">
        <v>133</v>
      </c>
      <c r="D10" s="3" t="s">
        <v>134</v>
      </c>
      <c r="E10" s="3" t="s">
        <v>69</v>
      </c>
      <c r="F10" s="3" t="s">
        <v>124</v>
      </c>
      <c r="G10" s="3" t="s">
        <v>27</v>
      </c>
      <c r="H10" s="3" t="s">
        <v>70</v>
      </c>
      <c r="I10" s="3" t="s">
        <v>125</v>
      </c>
      <c r="J10" s="3"/>
      <c r="K10" s="3" t="s">
        <v>135</v>
      </c>
      <c r="L10" s="3" t="s">
        <v>124</v>
      </c>
      <c r="M10" s="3"/>
      <c r="N10" s="4"/>
      <c r="O10" s="3" t="s">
        <v>136</v>
      </c>
      <c r="P10" s="3" t="s">
        <v>137</v>
      </c>
      <c r="Q10" s="3" t="s">
        <v>138</v>
      </c>
      <c r="R10" s="3" t="s">
        <v>139</v>
      </c>
      <c r="S10" s="3" t="s">
        <v>0</v>
      </c>
      <c r="T10" s="3" t="s">
        <v>0</v>
      </c>
      <c r="U10" s="3" t="s">
        <v>140</v>
      </c>
      <c r="V10" s="5" t="s">
        <v>141</v>
      </c>
      <c r="W10" s="3" t="s">
        <v>142</v>
      </c>
    </row>
    <row r="11" spans="1:23" ht="120" customHeight="1" x14ac:dyDescent="0.35">
      <c r="A11" s="2">
        <v>10</v>
      </c>
      <c r="B11" s="2">
        <v>2024</v>
      </c>
      <c r="C11" s="3" t="s">
        <v>143</v>
      </c>
      <c r="D11" s="3" t="s">
        <v>97</v>
      </c>
      <c r="E11" s="3" t="s">
        <v>69</v>
      </c>
      <c r="F11" s="3" t="s">
        <v>124</v>
      </c>
      <c r="G11" s="3" t="s">
        <v>27</v>
      </c>
      <c r="H11" s="3" t="s">
        <v>70</v>
      </c>
      <c r="I11" s="3" t="s">
        <v>125</v>
      </c>
      <c r="J11" s="3"/>
      <c r="K11" s="3" t="s">
        <v>144</v>
      </c>
      <c r="L11" s="3" t="s">
        <v>124</v>
      </c>
      <c r="M11" s="3"/>
      <c r="N11" s="4"/>
      <c r="O11" s="3" t="s">
        <v>145</v>
      </c>
      <c r="P11" s="3" t="s">
        <v>146</v>
      </c>
      <c r="Q11" s="3" t="s">
        <v>147</v>
      </c>
      <c r="R11" s="3" t="s">
        <v>148</v>
      </c>
      <c r="S11" s="3" t="s">
        <v>80</v>
      </c>
      <c r="T11" s="3" t="s">
        <v>0</v>
      </c>
      <c r="U11" s="3" t="s">
        <v>36</v>
      </c>
      <c r="V11" s="5" t="s">
        <v>149</v>
      </c>
      <c r="W11" s="3" t="s">
        <v>150</v>
      </c>
    </row>
    <row r="12" spans="1:23" ht="120" customHeight="1" x14ac:dyDescent="0.35">
      <c r="A12" s="2">
        <v>11</v>
      </c>
      <c r="B12" s="2">
        <v>2024</v>
      </c>
      <c r="C12" s="3" t="s">
        <v>151</v>
      </c>
      <c r="D12" s="3" t="s">
        <v>152</v>
      </c>
      <c r="E12" s="3" t="s">
        <v>153</v>
      </c>
      <c r="F12" s="3" t="s">
        <v>42</v>
      </c>
      <c r="G12" s="3" t="s">
        <v>43</v>
      </c>
      <c r="H12" s="3" t="s">
        <v>70</v>
      </c>
      <c r="I12" s="3" t="s">
        <v>154</v>
      </c>
      <c r="J12" s="3"/>
      <c r="K12" s="3" t="s">
        <v>155</v>
      </c>
      <c r="L12" s="3" t="s">
        <v>156</v>
      </c>
      <c r="M12" s="3" t="s">
        <v>75</v>
      </c>
      <c r="N12" s="4">
        <v>90.36</v>
      </c>
      <c r="O12" s="3" t="s">
        <v>157</v>
      </c>
      <c r="P12" s="3" t="s">
        <v>158</v>
      </c>
      <c r="Q12" s="3" t="s">
        <v>159</v>
      </c>
      <c r="R12" s="3" t="s">
        <v>160</v>
      </c>
      <c r="S12" s="3" t="s">
        <v>0</v>
      </c>
      <c r="T12" s="3" t="s">
        <v>0</v>
      </c>
      <c r="U12" s="3" t="s">
        <v>36</v>
      </c>
      <c r="V12" s="5" t="s">
        <v>161</v>
      </c>
      <c r="W12" s="3" t="s">
        <v>162</v>
      </c>
    </row>
    <row r="13" spans="1:23" ht="120" customHeight="1" x14ac:dyDescent="0.35">
      <c r="A13" s="2">
        <v>12</v>
      </c>
      <c r="B13" s="2">
        <v>2024</v>
      </c>
      <c r="C13" s="3" t="s">
        <v>163</v>
      </c>
      <c r="D13" s="3" t="s">
        <v>164</v>
      </c>
      <c r="E13" s="3" t="s">
        <v>165</v>
      </c>
      <c r="F13" s="3" t="s">
        <v>42</v>
      </c>
      <c r="G13" s="3" t="s">
        <v>43</v>
      </c>
      <c r="H13" s="3" t="s">
        <v>44</v>
      </c>
      <c r="I13" s="3" t="s">
        <v>166</v>
      </c>
      <c r="J13" s="3"/>
      <c r="K13" s="3" t="s">
        <v>167</v>
      </c>
      <c r="L13" s="3" t="s">
        <v>168</v>
      </c>
      <c r="M13" s="3" t="s">
        <v>48</v>
      </c>
      <c r="N13" s="4">
        <v>88.14</v>
      </c>
      <c r="O13" s="3" t="s">
        <v>169</v>
      </c>
      <c r="P13" s="3" t="s">
        <v>170</v>
      </c>
      <c r="Q13" s="3" t="s">
        <v>171</v>
      </c>
      <c r="R13" s="3" t="s">
        <v>172</v>
      </c>
      <c r="S13" s="3" t="s">
        <v>0</v>
      </c>
      <c r="T13" s="3" t="s">
        <v>0</v>
      </c>
      <c r="U13" s="3" t="s">
        <v>36</v>
      </c>
      <c r="V13" s="5" t="s">
        <v>173</v>
      </c>
      <c r="W13" s="3" t="s">
        <v>174</v>
      </c>
    </row>
    <row r="14" spans="1:23" ht="120" customHeight="1" x14ac:dyDescent="0.35">
      <c r="A14" s="2">
        <v>13</v>
      </c>
      <c r="B14" s="2">
        <v>2024</v>
      </c>
      <c r="C14" s="3" t="s">
        <v>175</v>
      </c>
      <c r="D14" s="3" t="s">
        <v>176</v>
      </c>
      <c r="E14" s="3" t="s">
        <v>177</v>
      </c>
      <c r="F14" s="3" t="s">
        <v>42</v>
      </c>
      <c r="G14" s="3" t="s">
        <v>43</v>
      </c>
      <c r="H14" s="3" t="s">
        <v>44</v>
      </c>
      <c r="I14" s="3" t="s">
        <v>178</v>
      </c>
      <c r="J14" s="3"/>
      <c r="K14" s="3" t="s">
        <v>179</v>
      </c>
      <c r="L14" s="3" t="s">
        <v>180</v>
      </c>
      <c r="M14" s="3" t="s">
        <v>181</v>
      </c>
      <c r="N14" s="4">
        <v>94.67</v>
      </c>
      <c r="O14" s="3" t="s">
        <v>182</v>
      </c>
      <c r="P14" s="3" t="s">
        <v>183</v>
      </c>
      <c r="Q14" s="3" t="s">
        <v>184</v>
      </c>
      <c r="R14" s="3" t="s">
        <v>185</v>
      </c>
      <c r="S14" s="3" t="s">
        <v>0</v>
      </c>
      <c r="T14" s="3" t="s">
        <v>186</v>
      </c>
      <c r="U14" s="3" t="s">
        <v>36</v>
      </c>
      <c r="V14" s="5" t="s">
        <v>187</v>
      </c>
      <c r="W14" s="3" t="s">
        <v>188</v>
      </c>
    </row>
    <row r="15" spans="1:23" ht="120" customHeight="1" x14ac:dyDescent="0.35">
      <c r="A15" s="2">
        <v>14</v>
      </c>
      <c r="B15" s="2">
        <v>2024</v>
      </c>
      <c r="C15" s="3" t="s">
        <v>189</v>
      </c>
      <c r="D15" s="3" t="s">
        <v>190</v>
      </c>
      <c r="E15" s="3" t="s">
        <v>191</v>
      </c>
      <c r="F15" s="3" t="s">
        <v>42</v>
      </c>
      <c r="G15" s="3" t="s">
        <v>192</v>
      </c>
      <c r="H15" s="3" t="s">
        <v>70</v>
      </c>
      <c r="I15" s="3" t="s">
        <v>193</v>
      </c>
      <c r="J15" s="3" t="s">
        <v>194</v>
      </c>
      <c r="K15" s="3" t="s">
        <v>195</v>
      </c>
      <c r="L15" s="3" t="s">
        <v>196</v>
      </c>
      <c r="M15" s="3" t="s">
        <v>197</v>
      </c>
      <c r="N15" s="4">
        <v>96</v>
      </c>
      <c r="O15" s="3" t="s">
        <v>198</v>
      </c>
      <c r="P15" s="3" t="s">
        <v>199</v>
      </c>
      <c r="Q15" s="3" t="s">
        <v>200</v>
      </c>
      <c r="R15" s="3" t="s">
        <v>201</v>
      </c>
      <c r="S15" s="3" t="s">
        <v>0</v>
      </c>
      <c r="T15" s="3" t="s">
        <v>0</v>
      </c>
      <c r="U15" s="3" t="s">
        <v>36</v>
      </c>
      <c r="V15" s="5" t="s">
        <v>202</v>
      </c>
      <c r="W15" s="3" t="s">
        <v>203</v>
      </c>
    </row>
    <row r="16" spans="1:23" ht="120" customHeight="1" x14ac:dyDescent="0.35">
      <c r="A16" s="2">
        <v>15</v>
      </c>
      <c r="B16" s="2">
        <v>2024</v>
      </c>
      <c r="C16" s="3" t="s">
        <v>204</v>
      </c>
      <c r="D16" s="3" t="s">
        <v>205</v>
      </c>
      <c r="E16" s="3" t="s">
        <v>206</v>
      </c>
      <c r="F16" s="3" t="s">
        <v>26</v>
      </c>
      <c r="G16" s="3" t="s">
        <v>27</v>
      </c>
      <c r="H16" s="3" t="s">
        <v>44</v>
      </c>
      <c r="I16" s="3" t="s">
        <v>207</v>
      </c>
      <c r="J16" s="3"/>
      <c r="K16" s="3" t="s">
        <v>208</v>
      </c>
      <c r="L16" s="3" t="s">
        <v>209</v>
      </c>
      <c r="M16" s="3"/>
      <c r="N16" s="4"/>
      <c r="O16" s="3" t="s">
        <v>210</v>
      </c>
      <c r="P16" s="3" t="s">
        <v>211</v>
      </c>
      <c r="Q16" s="3" t="s">
        <v>212</v>
      </c>
      <c r="R16" s="3" t="s">
        <v>213</v>
      </c>
      <c r="S16" s="3" t="s">
        <v>0</v>
      </c>
      <c r="T16" s="3" t="s">
        <v>0</v>
      </c>
      <c r="U16" s="3" t="s">
        <v>36</v>
      </c>
      <c r="V16" s="5" t="s">
        <v>214</v>
      </c>
      <c r="W16" s="3" t="s">
        <v>215</v>
      </c>
    </row>
    <row r="17" spans="1:23" ht="120" customHeight="1" x14ac:dyDescent="0.35">
      <c r="A17" s="2">
        <v>16</v>
      </c>
      <c r="B17" s="2">
        <v>2023</v>
      </c>
      <c r="C17" s="3" t="s">
        <v>216</v>
      </c>
      <c r="D17" s="3" t="s">
        <v>217</v>
      </c>
      <c r="E17" s="3" t="s">
        <v>69</v>
      </c>
      <c r="F17" s="3" t="s">
        <v>124</v>
      </c>
      <c r="G17" s="3" t="s">
        <v>27</v>
      </c>
      <c r="H17" s="3" t="s">
        <v>70</v>
      </c>
      <c r="I17" s="3" t="s">
        <v>125</v>
      </c>
      <c r="J17" s="3"/>
      <c r="K17" s="3" t="s">
        <v>218</v>
      </c>
      <c r="L17" s="3" t="s">
        <v>219</v>
      </c>
      <c r="M17" s="3"/>
      <c r="N17" s="4"/>
      <c r="O17" s="3" t="s">
        <v>220</v>
      </c>
      <c r="P17" s="3" t="s">
        <v>221</v>
      </c>
      <c r="Q17" s="3" t="s">
        <v>222</v>
      </c>
      <c r="R17" s="3" t="s">
        <v>223</v>
      </c>
      <c r="S17" s="3" t="s">
        <v>0</v>
      </c>
      <c r="T17" s="3" t="s">
        <v>0</v>
      </c>
      <c r="U17" s="3" t="s">
        <v>36</v>
      </c>
      <c r="V17" s="5" t="s">
        <v>224</v>
      </c>
      <c r="W17" s="3" t="s">
        <v>225</v>
      </c>
    </row>
    <row r="18" spans="1:23" ht="120" customHeight="1" x14ac:dyDescent="0.35">
      <c r="A18" s="2">
        <v>17</v>
      </c>
      <c r="B18" s="2">
        <v>2023</v>
      </c>
      <c r="C18" s="3" t="s">
        <v>226</v>
      </c>
      <c r="D18" s="3" t="s">
        <v>227</v>
      </c>
      <c r="E18" s="3" t="s">
        <v>153</v>
      </c>
      <c r="F18" s="3" t="s">
        <v>42</v>
      </c>
      <c r="G18" s="3" t="s">
        <v>43</v>
      </c>
      <c r="H18" s="3" t="s">
        <v>70</v>
      </c>
      <c r="I18" s="3" t="s">
        <v>228</v>
      </c>
      <c r="J18" s="3" t="s">
        <v>72</v>
      </c>
      <c r="K18" s="3" t="s">
        <v>229</v>
      </c>
      <c r="L18" s="3" t="s">
        <v>230</v>
      </c>
      <c r="M18" s="3" t="s">
        <v>197</v>
      </c>
      <c r="N18" s="4">
        <v>88</v>
      </c>
      <c r="O18" s="3" t="s">
        <v>231</v>
      </c>
      <c r="P18" s="3" t="s">
        <v>232</v>
      </c>
      <c r="Q18" s="3" t="s">
        <v>233</v>
      </c>
      <c r="R18" s="3" t="s">
        <v>234</v>
      </c>
      <c r="S18" s="3" t="s">
        <v>0</v>
      </c>
      <c r="T18" s="3" t="s">
        <v>0</v>
      </c>
      <c r="U18" s="3" t="s">
        <v>235</v>
      </c>
      <c r="V18" s="5" t="s">
        <v>236</v>
      </c>
      <c r="W18" s="3" t="s">
        <v>237</v>
      </c>
    </row>
    <row r="19" spans="1:23" ht="120" customHeight="1" x14ac:dyDescent="0.35">
      <c r="A19" s="2">
        <v>18</v>
      </c>
      <c r="B19" s="2">
        <v>2023</v>
      </c>
      <c r="C19" s="3" t="s">
        <v>238</v>
      </c>
      <c r="D19" s="3" t="s">
        <v>239</v>
      </c>
      <c r="E19" s="3" t="s">
        <v>69</v>
      </c>
      <c r="F19" s="3" t="s">
        <v>42</v>
      </c>
      <c r="G19" s="3" t="s">
        <v>43</v>
      </c>
      <c r="H19" s="3" t="s">
        <v>70</v>
      </c>
      <c r="I19" s="3" t="s">
        <v>240</v>
      </c>
      <c r="J19" s="3" t="s">
        <v>241</v>
      </c>
      <c r="K19" s="3" t="s">
        <v>242</v>
      </c>
      <c r="L19" s="3" t="s">
        <v>243</v>
      </c>
      <c r="M19" s="3" t="s">
        <v>75</v>
      </c>
      <c r="N19" s="4">
        <v>87.25</v>
      </c>
      <c r="O19" s="3" t="s">
        <v>244</v>
      </c>
      <c r="P19" s="3" t="s">
        <v>245</v>
      </c>
      <c r="Q19" s="3" t="s">
        <v>246</v>
      </c>
      <c r="R19" s="3" t="s">
        <v>247</v>
      </c>
      <c r="S19" s="3" t="s">
        <v>0</v>
      </c>
      <c r="T19" s="3" t="s">
        <v>0</v>
      </c>
      <c r="U19" s="3" t="s">
        <v>36</v>
      </c>
      <c r="V19" s="5" t="s">
        <v>248</v>
      </c>
      <c r="W19" s="3" t="s">
        <v>249</v>
      </c>
    </row>
    <row r="20" spans="1:23" ht="120" customHeight="1" x14ac:dyDescent="0.35">
      <c r="A20" s="2">
        <v>19</v>
      </c>
      <c r="B20" s="2">
        <v>2023</v>
      </c>
      <c r="C20" s="3" t="s">
        <v>250</v>
      </c>
      <c r="D20" s="3"/>
      <c r="E20" s="3" t="s">
        <v>251</v>
      </c>
      <c r="F20" s="3" t="s">
        <v>42</v>
      </c>
      <c r="G20" s="3" t="s">
        <v>43</v>
      </c>
      <c r="H20" s="3" t="s">
        <v>70</v>
      </c>
      <c r="I20" s="3" t="s">
        <v>252</v>
      </c>
      <c r="J20" s="3"/>
      <c r="K20" s="3" t="s">
        <v>253</v>
      </c>
      <c r="L20" s="3" t="s">
        <v>254</v>
      </c>
      <c r="M20" s="3" t="s">
        <v>255</v>
      </c>
      <c r="N20" s="4">
        <v>96.58</v>
      </c>
      <c r="O20" s="3" t="s">
        <v>256</v>
      </c>
      <c r="P20" s="3" t="s">
        <v>257</v>
      </c>
      <c r="Q20" s="3" t="s">
        <v>258</v>
      </c>
      <c r="R20" s="3" t="s">
        <v>259</v>
      </c>
      <c r="S20" s="3" t="s">
        <v>0</v>
      </c>
      <c r="T20" s="3" t="s">
        <v>0</v>
      </c>
      <c r="U20" s="3" t="s">
        <v>36</v>
      </c>
      <c r="V20" s="5" t="s">
        <v>260</v>
      </c>
      <c r="W20" s="3" t="s">
        <v>261</v>
      </c>
    </row>
    <row r="21" spans="1:23" ht="120" customHeight="1" x14ac:dyDescent="0.35">
      <c r="A21" s="2">
        <v>20</v>
      </c>
      <c r="B21" s="2">
        <v>2023</v>
      </c>
      <c r="C21" s="3" t="s">
        <v>262</v>
      </c>
      <c r="D21" s="3" t="s">
        <v>263</v>
      </c>
      <c r="E21" s="3" t="s">
        <v>264</v>
      </c>
      <c r="F21" s="3" t="s">
        <v>124</v>
      </c>
      <c r="G21" s="3" t="s">
        <v>27</v>
      </c>
      <c r="H21" s="3" t="s">
        <v>70</v>
      </c>
      <c r="I21" s="3" t="s">
        <v>265</v>
      </c>
      <c r="J21" s="3"/>
      <c r="K21" s="3" t="s">
        <v>266</v>
      </c>
      <c r="L21" s="3" t="s">
        <v>124</v>
      </c>
      <c r="M21" s="3"/>
      <c r="N21" s="4"/>
      <c r="O21" s="3" t="s">
        <v>267</v>
      </c>
      <c r="P21" s="3" t="s">
        <v>268</v>
      </c>
      <c r="Q21" s="3" t="s">
        <v>269</v>
      </c>
      <c r="R21" s="3" t="s">
        <v>270</v>
      </c>
      <c r="S21" s="3" t="s">
        <v>0</v>
      </c>
      <c r="T21" s="3" t="s">
        <v>0</v>
      </c>
      <c r="U21" s="3" t="s">
        <v>140</v>
      </c>
      <c r="V21" s="5" t="s">
        <v>271</v>
      </c>
      <c r="W21" s="3" t="s">
        <v>272</v>
      </c>
    </row>
    <row r="22" spans="1:23" ht="120" customHeight="1" x14ac:dyDescent="0.35">
      <c r="A22" s="2">
        <v>21</v>
      </c>
      <c r="B22" s="2">
        <v>2022</v>
      </c>
      <c r="C22" s="3" t="s">
        <v>273</v>
      </c>
      <c r="D22" s="3" t="s">
        <v>274</v>
      </c>
      <c r="E22" s="3" t="s">
        <v>275</v>
      </c>
      <c r="F22" s="3" t="s">
        <v>42</v>
      </c>
      <c r="G22" s="3" t="s">
        <v>276</v>
      </c>
      <c r="H22" s="3" t="s">
        <v>70</v>
      </c>
      <c r="I22" s="3" t="s">
        <v>277</v>
      </c>
      <c r="J22" s="3"/>
      <c r="K22" s="3" t="s">
        <v>278</v>
      </c>
      <c r="L22" s="3" t="s">
        <v>279</v>
      </c>
      <c r="M22" s="3" t="s">
        <v>197</v>
      </c>
      <c r="N22" s="4">
        <v>92</v>
      </c>
      <c r="O22" s="3" t="s">
        <v>280</v>
      </c>
      <c r="P22" s="3" t="s">
        <v>281</v>
      </c>
      <c r="Q22" s="3" t="s">
        <v>282</v>
      </c>
      <c r="R22" s="3" t="s">
        <v>283</v>
      </c>
      <c r="S22" s="3" t="s">
        <v>0</v>
      </c>
      <c r="T22" s="3" t="s">
        <v>284</v>
      </c>
      <c r="U22" s="3" t="s">
        <v>36</v>
      </c>
      <c r="V22" s="5" t="s">
        <v>285</v>
      </c>
      <c r="W22" s="3" t="s">
        <v>286</v>
      </c>
    </row>
    <row r="23" spans="1:23" ht="120" customHeight="1" x14ac:dyDescent="0.35">
      <c r="A23" s="2">
        <v>22</v>
      </c>
      <c r="B23" s="2">
        <v>2022</v>
      </c>
      <c r="C23" s="3" t="s">
        <v>287</v>
      </c>
      <c r="D23" s="3"/>
      <c r="E23" s="3" t="s">
        <v>251</v>
      </c>
      <c r="F23" s="3" t="s">
        <v>124</v>
      </c>
      <c r="G23" s="3" t="s">
        <v>27</v>
      </c>
      <c r="H23" s="3" t="s">
        <v>70</v>
      </c>
      <c r="I23" s="3" t="s">
        <v>125</v>
      </c>
      <c r="J23" s="3"/>
      <c r="K23" s="3" t="s">
        <v>288</v>
      </c>
      <c r="L23" s="3" t="s">
        <v>124</v>
      </c>
      <c r="M23" s="3"/>
      <c r="N23" s="4"/>
      <c r="O23" s="3" t="s">
        <v>289</v>
      </c>
      <c r="P23" s="3" t="s">
        <v>290</v>
      </c>
      <c r="Q23" s="3" t="s">
        <v>291</v>
      </c>
      <c r="R23" s="3" t="s">
        <v>292</v>
      </c>
      <c r="S23" s="3" t="s">
        <v>0</v>
      </c>
      <c r="T23" s="3" t="s">
        <v>0</v>
      </c>
      <c r="U23" s="3" t="s">
        <v>36</v>
      </c>
      <c r="V23" s="5" t="s">
        <v>293</v>
      </c>
      <c r="W23" s="3" t="s">
        <v>294</v>
      </c>
    </row>
    <row r="24" spans="1:23" ht="120" customHeight="1" x14ac:dyDescent="0.35">
      <c r="A24" s="2">
        <v>23</v>
      </c>
      <c r="B24" s="2">
        <v>2022</v>
      </c>
      <c r="C24" s="3" t="s">
        <v>295</v>
      </c>
      <c r="D24" s="3" t="s">
        <v>296</v>
      </c>
      <c r="E24" s="3" t="s">
        <v>297</v>
      </c>
      <c r="F24" s="3" t="s">
        <v>298</v>
      </c>
      <c r="G24" s="3" t="s">
        <v>27</v>
      </c>
      <c r="H24" s="3" t="s">
        <v>28</v>
      </c>
      <c r="I24" s="3" t="s">
        <v>27</v>
      </c>
      <c r="J24" s="3"/>
      <c r="K24" s="3" t="s">
        <v>27</v>
      </c>
      <c r="L24" s="3" t="s">
        <v>299</v>
      </c>
      <c r="M24" s="3"/>
      <c r="N24" s="4"/>
      <c r="O24" s="3" t="s">
        <v>300</v>
      </c>
      <c r="P24" s="3" t="s">
        <v>301</v>
      </c>
      <c r="Q24" s="3" t="s">
        <v>302</v>
      </c>
      <c r="R24" s="3" t="s">
        <v>303</v>
      </c>
      <c r="S24" s="3" t="s">
        <v>0</v>
      </c>
      <c r="T24" s="3" t="s">
        <v>0</v>
      </c>
      <c r="U24" s="3" t="s">
        <v>36</v>
      </c>
      <c r="V24" s="5" t="s">
        <v>304</v>
      </c>
      <c r="W24" s="3" t="s">
        <v>305</v>
      </c>
    </row>
    <row r="25" spans="1:23" ht="120" customHeight="1" x14ac:dyDescent="0.35">
      <c r="A25" s="2">
        <v>24</v>
      </c>
      <c r="B25" s="2">
        <v>2019</v>
      </c>
      <c r="C25" s="3" t="s">
        <v>306</v>
      </c>
      <c r="D25" s="3" t="s">
        <v>307</v>
      </c>
      <c r="E25" s="3" t="s">
        <v>308</v>
      </c>
      <c r="F25" s="3" t="s">
        <v>42</v>
      </c>
      <c r="G25" s="3" t="s">
        <v>309</v>
      </c>
      <c r="H25" s="3" t="s">
        <v>310</v>
      </c>
      <c r="I25" s="3" t="s">
        <v>311</v>
      </c>
      <c r="J25" s="3"/>
      <c r="K25" s="3" t="s">
        <v>312</v>
      </c>
      <c r="L25" s="3" t="s">
        <v>313</v>
      </c>
      <c r="M25" s="3" t="s">
        <v>314</v>
      </c>
      <c r="N25" s="4"/>
      <c r="O25" s="3" t="s">
        <v>315</v>
      </c>
      <c r="P25" s="3" t="s">
        <v>316</v>
      </c>
      <c r="Q25" s="3" t="s">
        <v>317</v>
      </c>
      <c r="R25" s="3" t="s">
        <v>318</v>
      </c>
      <c r="S25" s="3" t="s">
        <v>0</v>
      </c>
      <c r="T25" s="3" t="s">
        <v>0</v>
      </c>
      <c r="U25" s="3" t="s">
        <v>36</v>
      </c>
      <c r="V25" s="5" t="s">
        <v>319</v>
      </c>
      <c r="W25" s="3" t="s">
        <v>320</v>
      </c>
    </row>
    <row r="26" spans="1:23" ht="120" customHeight="1" x14ac:dyDescent="0.35">
      <c r="A26" s="2">
        <v>25</v>
      </c>
      <c r="B26" s="2">
        <v>2018</v>
      </c>
      <c r="C26" s="3" t="s">
        <v>321</v>
      </c>
      <c r="D26" s="3" t="s">
        <v>322</v>
      </c>
      <c r="E26" s="3" t="s">
        <v>323</v>
      </c>
      <c r="F26" s="3" t="s">
        <v>298</v>
      </c>
      <c r="G26" s="3" t="s">
        <v>27</v>
      </c>
      <c r="H26" s="3" t="s">
        <v>28</v>
      </c>
      <c r="I26" s="3" t="s">
        <v>27</v>
      </c>
      <c r="J26" s="3"/>
      <c r="K26" s="3" t="s">
        <v>27</v>
      </c>
      <c r="L26" s="3" t="s">
        <v>324</v>
      </c>
      <c r="M26" s="3"/>
      <c r="N26" s="4"/>
      <c r="O26" s="3" t="s">
        <v>325</v>
      </c>
      <c r="P26" s="3" t="s">
        <v>326</v>
      </c>
      <c r="Q26" s="3" t="s">
        <v>327</v>
      </c>
      <c r="R26" s="3" t="s">
        <v>328</v>
      </c>
      <c r="S26" s="3" t="s">
        <v>0</v>
      </c>
      <c r="T26" s="3" t="s">
        <v>0</v>
      </c>
      <c r="U26" s="3" t="s">
        <v>36</v>
      </c>
      <c r="V26" s="5" t="s">
        <v>329</v>
      </c>
      <c r="W26" s="3" t="s">
        <v>330</v>
      </c>
    </row>
    <row r="27" spans="1:23" ht="120" customHeight="1" x14ac:dyDescent="0.35">
      <c r="A27" s="2">
        <v>26</v>
      </c>
      <c r="B27" s="2">
        <v>2015</v>
      </c>
      <c r="C27" s="3" t="s">
        <v>331</v>
      </c>
      <c r="D27" s="3" t="s">
        <v>332</v>
      </c>
      <c r="E27" s="3" t="s">
        <v>308</v>
      </c>
      <c r="F27" s="3" t="s">
        <v>42</v>
      </c>
      <c r="G27" s="3" t="s">
        <v>309</v>
      </c>
      <c r="H27" s="3" t="s">
        <v>70</v>
      </c>
      <c r="I27" s="3" t="s">
        <v>333</v>
      </c>
      <c r="J27" s="3" t="s">
        <v>334</v>
      </c>
      <c r="K27" s="3" t="s">
        <v>335</v>
      </c>
      <c r="L27" s="3" t="s">
        <v>336</v>
      </c>
      <c r="M27" s="3" t="s">
        <v>337</v>
      </c>
      <c r="N27" s="4">
        <v>72.599999999999994</v>
      </c>
      <c r="O27" s="3" t="s">
        <v>338</v>
      </c>
      <c r="P27" s="3" t="s">
        <v>339</v>
      </c>
      <c r="Q27" s="3" t="s">
        <v>340</v>
      </c>
      <c r="R27" s="3" t="s">
        <v>341</v>
      </c>
      <c r="S27" s="3" t="s">
        <v>0</v>
      </c>
      <c r="T27" s="3" t="s">
        <v>0</v>
      </c>
      <c r="U27" s="3" t="s">
        <v>36</v>
      </c>
      <c r="V27" s="5" t="s">
        <v>342</v>
      </c>
      <c r="W27" s="3" t="s">
        <v>343</v>
      </c>
    </row>
    <row r="28" spans="1:23" ht="120" customHeight="1" x14ac:dyDescent="0.35">
      <c r="A28" s="2">
        <v>27</v>
      </c>
      <c r="B28" s="2">
        <v>2015</v>
      </c>
      <c r="C28" s="3" t="s">
        <v>344</v>
      </c>
      <c r="D28" s="3" t="s">
        <v>345</v>
      </c>
      <c r="E28" s="3" t="s">
        <v>308</v>
      </c>
      <c r="F28" s="3" t="s">
        <v>124</v>
      </c>
      <c r="G28" s="3" t="s">
        <v>27</v>
      </c>
      <c r="H28" s="3" t="s">
        <v>70</v>
      </c>
      <c r="I28" s="3" t="s">
        <v>125</v>
      </c>
      <c r="J28" s="3"/>
      <c r="K28" s="3" t="s">
        <v>346</v>
      </c>
      <c r="L28" s="3" t="s">
        <v>124</v>
      </c>
      <c r="M28" s="3"/>
      <c r="N28" s="4"/>
      <c r="O28" s="3" t="s">
        <v>347</v>
      </c>
      <c r="P28" s="3" t="s">
        <v>348</v>
      </c>
      <c r="Q28" s="3" t="s">
        <v>349</v>
      </c>
      <c r="R28" s="3" t="s">
        <v>350</v>
      </c>
      <c r="S28" s="3" t="s">
        <v>0</v>
      </c>
      <c r="T28" s="3" t="s">
        <v>0</v>
      </c>
      <c r="U28" s="3" t="s">
        <v>140</v>
      </c>
      <c r="V28" s="5" t="s">
        <v>351</v>
      </c>
      <c r="W28" s="3" t="s">
        <v>352</v>
      </c>
    </row>
    <row r="29" spans="1:23" ht="120" customHeight="1" x14ac:dyDescent="0.35">
      <c r="A29" s="2">
        <v>28</v>
      </c>
      <c r="B29" s="2">
        <v>2014</v>
      </c>
      <c r="C29" s="3" t="s">
        <v>353</v>
      </c>
      <c r="D29" s="3" t="s">
        <v>354</v>
      </c>
      <c r="E29" s="3" t="s">
        <v>355</v>
      </c>
      <c r="F29" s="3" t="s">
        <v>42</v>
      </c>
      <c r="G29" s="3" t="s">
        <v>309</v>
      </c>
      <c r="H29" s="3" t="s">
        <v>70</v>
      </c>
      <c r="I29" s="3" t="s">
        <v>356</v>
      </c>
      <c r="J29" s="3" t="s">
        <v>357</v>
      </c>
      <c r="K29" s="3" t="s">
        <v>358</v>
      </c>
      <c r="L29" s="3" t="s">
        <v>359</v>
      </c>
      <c r="M29" s="3" t="s">
        <v>337</v>
      </c>
      <c r="N29" s="4">
        <v>86.66</v>
      </c>
      <c r="O29" s="3" t="s">
        <v>360</v>
      </c>
      <c r="P29" s="3" t="s">
        <v>361</v>
      </c>
      <c r="Q29" s="3" t="s">
        <v>362</v>
      </c>
      <c r="R29" s="3" t="s">
        <v>363</v>
      </c>
      <c r="S29" s="3" t="s">
        <v>0</v>
      </c>
      <c r="T29" s="3" t="s">
        <v>0</v>
      </c>
      <c r="U29" s="3" t="s">
        <v>364</v>
      </c>
      <c r="V29" s="5" t="s">
        <v>365</v>
      </c>
      <c r="W29" s="3" t="s">
        <v>366</v>
      </c>
    </row>
    <row r="30" spans="1:23" ht="120" customHeight="1" x14ac:dyDescent="0.35">
      <c r="A30" s="2">
        <v>29</v>
      </c>
      <c r="B30" s="2">
        <v>2013</v>
      </c>
      <c r="C30" s="3" t="s">
        <v>367</v>
      </c>
      <c r="D30" s="3" t="s">
        <v>368</v>
      </c>
      <c r="E30" s="3" t="s">
        <v>308</v>
      </c>
      <c r="F30" s="3" t="s">
        <v>124</v>
      </c>
      <c r="G30" s="3" t="s">
        <v>27</v>
      </c>
      <c r="H30" s="3" t="s">
        <v>70</v>
      </c>
      <c r="I30" s="3" t="s">
        <v>369</v>
      </c>
      <c r="J30" s="3"/>
      <c r="K30" s="3" t="s">
        <v>370</v>
      </c>
      <c r="L30" s="3" t="s">
        <v>371</v>
      </c>
      <c r="M30" s="3"/>
      <c r="N30" s="4"/>
      <c r="O30" s="3" t="s">
        <v>372</v>
      </c>
      <c r="P30" s="3" t="s">
        <v>373</v>
      </c>
      <c r="Q30" s="3" t="s">
        <v>374</v>
      </c>
      <c r="R30" s="3" t="s">
        <v>375</v>
      </c>
      <c r="S30" s="3" t="s">
        <v>0</v>
      </c>
      <c r="T30" s="3" t="s">
        <v>0</v>
      </c>
      <c r="U30" s="3" t="s">
        <v>36</v>
      </c>
      <c r="V30" s="5" t="s">
        <v>376</v>
      </c>
      <c r="W30" s="3" t="s">
        <v>377</v>
      </c>
    </row>
    <row r="31" spans="1:23" ht="120" customHeight="1" x14ac:dyDescent="0.35">
      <c r="A31" s="2">
        <v>30</v>
      </c>
      <c r="B31" s="2">
        <v>2011</v>
      </c>
      <c r="C31" s="3" t="s">
        <v>378</v>
      </c>
      <c r="D31" s="3" t="s">
        <v>379</v>
      </c>
      <c r="E31" s="3" t="s">
        <v>380</v>
      </c>
      <c r="F31" s="3" t="s">
        <v>381</v>
      </c>
      <c r="G31" s="3" t="s">
        <v>27</v>
      </c>
      <c r="H31" s="3" t="s">
        <v>28</v>
      </c>
      <c r="I31" s="3" t="s">
        <v>27</v>
      </c>
      <c r="J31" s="3" t="s">
        <v>382</v>
      </c>
      <c r="K31" s="3" t="s">
        <v>27</v>
      </c>
      <c r="L31" s="3" t="s">
        <v>383</v>
      </c>
      <c r="M31" s="3"/>
      <c r="N31" s="4"/>
      <c r="O31" s="3" t="s">
        <v>384</v>
      </c>
      <c r="P31" s="3" t="s">
        <v>385</v>
      </c>
      <c r="Q31" s="3" t="s">
        <v>327</v>
      </c>
      <c r="R31" s="3" t="s">
        <v>386</v>
      </c>
      <c r="S31" s="3" t="s">
        <v>0</v>
      </c>
      <c r="T31" s="3" t="s">
        <v>0</v>
      </c>
      <c r="U31" s="3" t="s">
        <v>36</v>
      </c>
      <c r="V31" s="5" t="s">
        <v>387</v>
      </c>
      <c r="W31" s="3" t="s">
        <v>388</v>
      </c>
    </row>
  </sheetData>
  <hyperlinks>
    <hyperlink ref="V2" r:id="rId1" xr:uid="{00000000-0004-0000-0000-000000000000}"/>
    <hyperlink ref="V3" r:id="rId2" xr:uid="{00000000-0004-0000-0000-000001000000}"/>
    <hyperlink ref="V4" r:id="rId3" xr:uid="{00000000-0004-0000-0000-000002000000}"/>
    <hyperlink ref="V5" r:id="rId4" xr:uid="{00000000-0004-0000-0000-000003000000}"/>
    <hyperlink ref="V6" r:id="rId5" xr:uid="{00000000-0004-0000-0000-000004000000}"/>
    <hyperlink ref="V7" r:id="rId6" xr:uid="{00000000-0004-0000-0000-000005000000}"/>
    <hyperlink ref="V8" r:id="rId7" xr:uid="{00000000-0004-0000-0000-000006000000}"/>
    <hyperlink ref="V9" r:id="rId8" xr:uid="{00000000-0004-0000-0000-000007000000}"/>
    <hyperlink ref="V10" r:id="rId9" xr:uid="{00000000-0004-0000-0000-000008000000}"/>
    <hyperlink ref="V11" r:id="rId10" xr:uid="{00000000-0004-0000-0000-000009000000}"/>
    <hyperlink ref="V12" r:id="rId11" xr:uid="{00000000-0004-0000-0000-00000A000000}"/>
    <hyperlink ref="V13" r:id="rId12" xr:uid="{00000000-0004-0000-0000-00000B000000}"/>
    <hyperlink ref="V14" r:id="rId13" xr:uid="{00000000-0004-0000-0000-00000C000000}"/>
    <hyperlink ref="V15" r:id="rId14" xr:uid="{00000000-0004-0000-0000-00000D000000}"/>
    <hyperlink ref="V16" r:id="rId15" xr:uid="{00000000-0004-0000-0000-00000E000000}"/>
    <hyperlink ref="V17" r:id="rId16" xr:uid="{00000000-0004-0000-0000-00000F000000}"/>
    <hyperlink ref="V18" r:id="rId17" xr:uid="{00000000-0004-0000-0000-000010000000}"/>
    <hyperlink ref="V19" r:id="rId18" xr:uid="{00000000-0004-0000-0000-000011000000}"/>
    <hyperlink ref="V20" r:id="rId19" xr:uid="{00000000-0004-0000-0000-000012000000}"/>
    <hyperlink ref="V21" r:id="rId20" xr:uid="{00000000-0004-0000-0000-000013000000}"/>
    <hyperlink ref="V22" r:id="rId21" xr:uid="{00000000-0004-0000-0000-000014000000}"/>
    <hyperlink ref="V23" r:id="rId22" xr:uid="{00000000-0004-0000-0000-000015000000}"/>
    <hyperlink ref="V24" r:id="rId23" xr:uid="{00000000-0004-0000-0000-000016000000}"/>
    <hyperlink ref="V25" r:id="rId24" xr:uid="{00000000-0004-0000-0000-000017000000}"/>
    <hyperlink ref="V26" r:id="rId25" xr:uid="{00000000-0004-0000-0000-000018000000}"/>
    <hyperlink ref="V27" r:id="rId26" xr:uid="{00000000-0004-0000-0000-000019000000}"/>
    <hyperlink ref="V28" r:id="rId27" xr:uid="{00000000-0004-0000-0000-00001A000000}"/>
    <hyperlink ref="V29" r:id="rId28" xr:uid="{00000000-0004-0000-0000-00001B000000}"/>
    <hyperlink ref="V30" r:id="rId29" xr:uid="{00000000-0004-0000-0000-00001C000000}"/>
    <hyperlink ref="V31" r:id="rId30" xr:uid="{00000000-0004-0000-0000-00001D000000}"/>
  </hyperlinks>
  <pageMargins left="0.75" right="0.75" top="1" bottom="1" header="0.5" footer="0.5"/>
  <tableParts count="1">
    <tablePart r:id="rId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2"/>
  <sheetViews>
    <sheetView workbookViewId="0"/>
  </sheetViews>
  <sheetFormatPr defaultRowHeight="14.5" x14ac:dyDescent="0.35"/>
  <cols>
    <col min="1" max="1" width="56" customWidth="1"/>
    <col min="2" max="2" width="14" customWidth="1"/>
    <col min="3" max="3" width="90" customWidth="1"/>
  </cols>
  <sheetData>
    <row r="1" spans="1:2" ht="18" x14ac:dyDescent="0.4">
      <c r="A1" s="6" t="s">
        <v>389</v>
      </c>
    </row>
    <row r="2" spans="1:2" x14ac:dyDescent="0.35">
      <c r="A2" s="7" t="s">
        <v>390</v>
      </c>
    </row>
    <row r="4" spans="1:2" ht="15.5" x14ac:dyDescent="0.35">
      <c r="A4" s="8" t="s">
        <v>391</v>
      </c>
    </row>
    <row r="5" spans="1:2" x14ac:dyDescent="0.35">
      <c r="A5" s="9" t="s">
        <v>392</v>
      </c>
      <c r="B5" s="10">
        <f>COUNTA('Literature Survey'!A2:A31)</f>
        <v>30</v>
      </c>
    </row>
    <row r="6" spans="1:2" x14ac:dyDescent="0.35">
      <c r="A6" s="9" t="s">
        <v>42</v>
      </c>
      <c r="B6" s="10">
        <f>COUNTIF('Literature Survey'!F2:F31,"Experimental")</f>
        <v>16</v>
      </c>
    </row>
    <row r="7" spans="1:2" x14ac:dyDescent="0.35">
      <c r="A7" s="9" t="s">
        <v>124</v>
      </c>
      <c r="B7" s="10">
        <f>COUNTIF('Literature Survey'!F2:F31,"Review")</f>
        <v>8</v>
      </c>
    </row>
    <row r="8" spans="1:2" x14ac:dyDescent="0.35">
      <c r="A8" s="9" t="s">
        <v>26</v>
      </c>
      <c r="B8" s="10">
        <f>COUNTIF('Literature Survey'!F2:F31,"Conceptual / proposal")</f>
        <v>3</v>
      </c>
    </row>
    <row r="9" spans="1:2" x14ac:dyDescent="0.35">
      <c r="A9" s="9" t="s">
        <v>298</v>
      </c>
      <c r="B9" s="10">
        <f>COUNTIF('Literature Survey'!F2:F31,"Tool / resource")</f>
        <v>2</v>
      </c>
    </row>
    <row r="10" spans="1:2" x14ac:dyDescent="0.35">
      <c r="A10" s="9" t="s">
        <v>381</v>
      </c>
      <c r="B10" s="10">
        <f>COUNTIF('Literature Survey'!F2:F31,"Standard / reference")</f>
        <v>1</v>
      </c>
    </row>
    <row r="12" spans="1:2" ht="15.5" x14ac:dyDescent="0.35">
      <c r="A12" s="8" t="s">
        <v>393</v>
      </c>
    </row>
    <row r="13" spans="1:2" x14ac:dyDescent="0.35">
      <c r="A13" s="9" t="s">
        <v>70</v>
      </c>
      <c r="B13" s="10">
        <f>COUNTIF('Literature Survey'!H2:H31,"Character recognition")</f>
        <v>19</v>
      </c>
    </row>
    <row r="14" spans="1:2" x14ac:dyDescent="0.35">
      <c r="A14" s="9" t="s">
        <v>44</v>
      </c>
      <c r="B14" s="10">
        <f>COUNTIF('Literature Survey'!H2:H31,"Transliteration / transcription")</f>
        <v>6</v>
      </c>
    </row>
    <row r="15" spans="1:2" x14ac:dyDescent="0.35">
      <c r="A15" s="9" t="s">
        <v>310</v>
      </c>
      <c r="B15" s="10">
        <f>COUNTIF('Literature Survey'!H2:H31,"Segmentation")</f>
        <v>1</v>
      </c>
    </row>
    <row r="16" spans="1:2" x14ac:dyDescent="0.35">
      <c r="A16" s="9" t="s">
        <v>28</v>
      </c>
      <c r="B16" s="10">
        <f>COUNTIF('Literature Survey'!H2:H31,"Other")</f>
        <v>4</v>
      </c>
    </row>
    <row r="18" spans="1:3" ht="15.5" x14ac:dyDescent="0.35">
      <c r="A18" s="8" t="s">
        <v>394</v>
      </c>
    </row>
    <row r="19" spans="1:3" x14ac:dyDescent="0.35">
      <c r="A19" s="9" t="s">
        <v>395</v>
      </c>
      <c r="B19" s="10">
        <f>COUNTIFS('Literature Survey'!F2:F31,"Experimental",'Literature Survey'!G2:G31,"Deep learning")</f>
        <v>11</v>
      </c>
    </row>
    <row r="20" spans="1:3" x14ac:dyDescent="0.35">
      <c r="A20" s="9" t="s">
        <v>396</v>
      </c>
      <c r="B20" s="10">
        <f>COUNTIFS('Literature Survey'!F2:F31,"Experimental",'Literature Survey'!G2:G31,"Classical ML")</f>
        <v>3</v>
      </c>
    </row>
    <row r="21" spans="1:3" x14ac:dyDescent="0.35">
      <c r="A21" s="9" t="s">
        <v>276</v>
      </c>
      <c r="B21" s="10">
        <f>COUNTIFS('Literature Survey'!F2:F31,"Experimental",'Literature Survey'!G2:G31,"Hybrid*")</f>
        <v>1</v>
      </c>
    </row>
    <row r="22" spans="1:3" x14ac:dyDescent="0.35">
      <c r="A22" s="9" t="s">
        <v>397</v>
      </c>
      <c r="B22" s="10">
        <f>COUNTIFS('Literature Survey'!F2:F31,"Experimental",'Literature Survey'!G2:G31,"Deep learning and classical ML")</f>
        <v>1</v>
      </c>
    </row>
    <row r="24" spans="1:3" ht="15.5" x14ac:dyDescent="0.35">
      <c r="A24" s="8" t="s">
        <v>398</v>
      </c>
    </row>
    <row r="25" spans="1:3" x14ac:dyDescent="0.35">
      <c r="A25" s="9" t="s">
        <v>399</v>
      </c>
      <c r="B25" s="10">
        <f>COUNTIFS('Literature Survey'!B2:B31,"&gt;=2011",'Literature Survey'!B2:B31,"&lt;=2015")</f>
        <v>5</v>
      </c>
    </row>
    <row r="26" spans="1:3" x14ac:dyDescent="0.35">
      <c r="A26" s="9" t="s">
        <v>400</v>
      </c>
      <c r="B26" s="10">
        <f>COUNTIFS('Literature Survey'!B2:B31,"&gt;=2016",'Literature Survey'!B2:B31,"&lt;=2020")</f>
        <v>2</v>
      </c>
    </row>
    <row r="27" spans="1:3" x14ac:dyDescent="0.35">
      <c r="A27" s="9" t="s">
        <v>401</v>
      </c>
      <c r="B27" s="10">
        <f>COUNTIFS('Literature Survey'!B2:B31,"&gt;=2021",'Literature Survey'!B2:B31,"&lt;=2023")</f>
        <v>8</v>
      </c>
    </row>
    <row r="28" spans="1:3" x14ac:dyDescent="0.35">
      <c r="A28" s="9" t="s">
        <v>402</v>
      </c>
      <c r="B28" s="10">
        <f>COUNTIFS('Literature Survey'!B2:B31,"&gt;=2024",'Literature Survey'!B2:B31,"&lt;=2026")</f>
        <v>15</v>
      </c>
    </row>
    <row r="30" spans="1:3" ht="15.5" x14ac:dyDescent="0.35">
      <c r="A30" s="8" t="s">
        <v>403</v>
      </c>
    </row>
    <row r="31" spans="1:3" x14ac:dyDescent="0.35">
      <c r="A31" s="9" t="s">
        <v>404</v>
      </c>
      <c r="B31" s="10">
        <f>COUNTIFS('Literature Survey'!H2:H31,"Character recognition",'Literature Survey'!N2:N31,"&gt;0")</f>
        <v>11</v>
      </c>
      <c r="C31" s="11" t="s">
        <v>405</v>
      </c>
    </row>
    <row r="32" spans="1:3" x14ac:dyDescent="0.35">
      <c r="A32" s="9" t="s">
        <v>406</v>
      </c>
      <c r="B32" s="12">
        <f>_xlfn.MINIFS('Literature Survey'!N2:N31,'Literature Survey'!H2:H31,"Character recognition")</f>
        <v>72.599999999999994</v>
      </c>
    </row>
    <row r="33" spans="1:3" x14ac:dyDescent="0.35">
      <c r="A33" s="9" t="s">
        <v>407</v>
      </c>
      <c r="B33" s="12">
        <f>_xlfn.MAXIFS('Literature Survey'!N2:N31,'Literature Survey'!H2:H31,"Character recognition")</f>
        <v>97.38</v>
      </c>
    </row>
    <row r="34" spans="1:3" x14ac:dyDescent="0.35">
      <c r="A34" s="9" t="s">
        <v>408</v>
      </c>
      <c r="B34" s="12">
        <f>AVERAGEIFS('Literature Survey'!N2:N31,'Literature Survey'!H2:H31,"Character recognition")</f>
        <v>90.084545454545463</v>
      </c>
    </row>
    <row r="36" spans="1:3" ht="15.5" x14ac:dyDescent="0.35">
      <c r="A36" s="8" t="s">
        <v>409</v>
      </c>
    </row>
    <row r="37" spans="1:3" x14ac:dyDescent="0.35">
      <c r="A37" s="9" t="s">
        <v>410</v>
      </c>
      <c r="B37" s="10">
        <f>COUNTIF('Literature Survey'!S2:S31,"Yes")</f>
        <v>0</v>
      </c>
      <c r="C37" s="11" t="s">
        <v>411</v>
      </c>
    </row>
    <row r="38" spans="1:3" x14ac:dyDescent="0.35">
      <c r="A38" s="9" t="s">
        <v>412</v>
      </c>
      <c r="B38" s="10">
        <f>COUNTIF('Literature Survey'!S2:S31,"Mention only")</f>
        <v>3</v>
      </c>
    </row>
    <row r="39" spans="1:3" x14ac:dyDescent="0.35">
      <c r="A39" s="9" t="s">
        <v>413</v>
      </c>
      <c r="B39" s="10">
        <f>COUNTIF('Literature Survey'!U2:U31,"*LBP*")</f>
        <v>0</v>
      </c>
      <c r="C39" s="11" t="s">
        <v>414</v>
      </c>
    </row>
    <row r="40" spans="1:3" x14ac:dyDescent="0.35">
      <c r="A40" s="9" t="s">
        <v>415</v>
      </c>
      <c r="B40" s="10">
        <f>COUNTIF('Literature Survey'!U2:U31,"*(fused)*")</f>
        <v>0</v>
      </c>
      <c r="C40" s="11" t="s">
        <v>416</v>
      </c>
    </row>
    <row r="41" spans="1:3" ht="24" x14ac:dyDescent="0.35">
      <c r="A41" s="9" t="s">
        <v>417</v>
      </c>
      <c r="B41" s="10">
        <f>COUNTIF('Literature Survey'!T2:T31,"Yes")</f>
        <v>0</v>
      </c>
      <c r="C41" s="11" t="s">
        <v>418</v>
      </c>
    </row>
    <row r="42" spans="1:3" x14ac:dyDescent="0.35">
      <c r="A42" s="9" t="s">
        <v>419</v>
      </c>
      <c r="B42" s="10">
        <f>COUNTIFS('Literature Survey'!F2:F31,"Experimental",'Literature Survey'!I2:I31,"*IEEE DataPort*")</f>
        <v>4</v>
      </c>
      <c r="C42" s="11" t="s">
        <v>420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4"/>
  <sheetViews>
    <sheetView workbookViewId="0">
      <selection activeCell="A15" sqref="A1:A15"/>
    </sheetView>
  </sheetViews>
  <sheetFormatPr defaultRowHeight="14.5" x14ac:dyDescent="0.35"/>
  <cols>
    <col min="1" max="1" width="130" customWidth="1"/>
  </cols>
  <sheetData>
    <row r="1" spans="1:1" ht="15.5" x14ac:dyDescent="0.35">
      <c r="A1" s="13"/>
    </row>
    <row r="2" spans="1:1" x14ac:dyDescent="0.35">
      <c r="A2" s="14"/>
    </row>
    <row r="3" spans="1:1" ht="15.5" x14ac:dyDescent="0.35">
      <c r="A3" s="13"/>
    </row>
    <row r="4" spans="1:1" x14ac:dyDescent="0.35">
      <c r="A4" s="14"/>
    </row>
    <row r="5" spans="1:1" x14ac:dyDescent="0.35">
      <c r="A5" s="14"/>
    </row>
    <row r="6" spans="1:1" x14ac:dyDescent="0.35">
      <c r="A6" s="14"/>
    </row>
    <row r="7" spans="1:1" x14ac:dyDescent="0.35">
      <c r="A7" s="14"/>
    </row>
    <row r="8" spans="1:1" ht="15.5" x14ac:dyDescent="0.35">
      <c r="A8" s="13"/>
    </row>
    <row r="9" spans="1:1" x14ac:dyDescent="0.35">
      <c r="A9" s="14"/>
    </row>
    <row r="10" spans="1:1" x14ac:dyDescent="0.35">
      <c r="A10" s="14"/>
    </row>
    <row r="11" spans="1:1" x14ac:dyDescent="0.35">
      <c r="A11" s="14"/>
    </row>
    <row r="12" spans="1:1" x14ac:dyDescent="0.35">
      <c r="A12" s="14"/>
    </row>
    <row r="13" spans="1:1" ht="15.5" x14ac:dyDescent="0.35">
      <c r="A13" s="13"/>
    </row>
    <row r="14" spans="1:1" x14ac:dyDescent="0.35">
      <c r="A14" s="1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Literature Survey</vt:lpstr>
      <vt:lpstr>Summary</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ANANYA CHOUDHARI</cp:lastModifiedBy>
  <dcterms:created xsi:type="dcterms:W3CDTF">2026-10-14T04:00:33Z</dcterms:created>
  <dcterms:modified xsi:type="dcterms:W3CDTF">2026-10-14T14:42:54Z</dcterms:modified>
</cp:coreProperties>
</file>